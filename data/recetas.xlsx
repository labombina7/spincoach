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Bloques" sheetId="2" state="visible" r:id="rId4"/>
    <sheet name="Recetas" sheetId="3" state="visible" r:id="rId5"/>
  </sheets>
  <definedNames>
    <definedName function="false" hidden="true" localSheetId="2" name="_xlnm._FilterDatabase" vbProcedure="false">Recetas!$A$1:$N$119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" authorId="0">
      <text>
        <r>
          <rPr>
            <sz val="10"/>
            <rFont val="Arial"/>
            <family val="2"/>
          </rPr>
          <t xml:space="preserve">Factor BPM: 1 = una pedalada por golpe; 2 = una pedalada cada dos golpes (medio tempo). BPM música = RPM × factor.</t>
        </r>
      </text>
    </comment>
  </commentList>
</comments>
</file>

<file path=xl/sharedStrings.xml><?xml version="1.0" encoding="utf-8"?>
<sst xmlns="http://schemas.openxmlformats.org/spreadsheetml/2006/main" count="492" uniqueCount="128">
  <si>
    <t xml:space="preserve">Spin Coach · Recetas de sesión</t>
  </si>
  <si>
    <t xml:space="preserve">Minutos programados por receta. Debe coincidir con la duración; si no, la celda se marca en rojo.</t>
  </si>
  <si>
    <t xml:space="preserve">Tipo</t>
  </si>
  <si>
    <t xml:space="preserve">15′</t>
  </si>
  <si>
    <t xml:space="preserve">30′</t>
  </si>
  <si>
    <t xml:space="preserve">45′</t>
  </si>
  <si>
    <t xml:space="preserve">60′</t>
  </si>
  <si>
    <t xml:space="preserve">Min de intervalos (60′)</t>
  </si>
  <si>
    <t xml:space="preserve">Continuo</t>
  </si>
  <si>
    <t xml:space="preserve">Progresivo</t>
  </si>
  <si>
    <t xml:space="preserve">HIIT</t>
  </si>
  <si>
    <t xml:space="preserve">Escalada</t>
  </si>
  <si>
    <t xml:space="preserve">Cómo editar</t>
  </si>
  <si>
    <t xml:space="preserve">• Texto azul = datos que puedes cambiar (bloque, minutos, fase, notas). Verde = calculado desde la hoja Bloques; no editar.</t>
  </si>
  <si>
    <t xml:space="preserve">• Filas en amarillo = dudas abiertas para decidir (ahora mismo ninguna).</t>
  </si>
  <si>
    <t xml:space="preserve">• Para cambiar rueda, RPM o BPM de un tipo de bloque, edítalo en la hoja Bloques y se propaga a todas las recetas.</t>
  </si>
  <si>
    <t xml:space="preserve">• Ejemplo de fila: HIIT · 45 · orden 4 · Serie 1 · I30 · 4 min → intervalos 30/30 de 4′ a 100–110 RPM.</t>
  </si>
  <si>
    <t xml:space="preserve">Reglas de diseño</t>
  </si>
  <si>
    <t xml:space="preserve">• Una sesión es una receta de fases: calentamiento + fases del catálogo + calma.</t>
  </si>
  <si>
    <t xml:space="preserve">• Bloque mínimo de 3′ (≈ 1 canción). Los intervalos cortos van dentro de un bloque y los marca la voz del coach.</t>
  </si>
  <si>
    <t xml:space="preserve">• HIIT: bloque de series casi fijo (máx. 3 series de ~7′); el tiempo extra va a activación y apoyo, no a más series.</t>
  </si>
  <si>
    <t xml:space="preserve">• HIIT: sesiones cortas con Tabata 20/10; en las largas, escalera 30/30 → 40/20 → 20/10.</t>
  </si>
  <si>
    <t xml:space="preserve">• Escalada: la última subida es siempre el remate (rueda 8-9, la que pueda cada uno).</t>
  </si>
  <si>
    <t xml:space="preserve">• Activación previa a HIIT/Escalada: llano → tempo (Z2–Z3), nunca Z4.</t>
  </si>
  <si>
    <t xml:space="preserve">• Subidas a medio tempo: BPM de la música = 2 × RPM objetivo.</t>
  </si>
  <si>
    <t xml:space="preserve">• Cobertura musical: se comprueba siempre contra la receta de 60′ de cada tipo; si no se cubre, se amplía con Last.fm.</t>
  </si>
  <si>
    <t xml:space="preserve">ID</t>
  </si>
  <si>
    <t xml:space="preserve">Bloque</t>
  </si>
  <si>
    <t xml:space="preserve">Posición</t>
  </si>
  <si>
    <t xml:space="preserve">Rueda mín</t>
  </si>
  <si>
    <t xml:space="preserve">Rueda máx</t>
  </si>
  <si>
    <t xml:space="preserve">RPM mín</t>
  </si>
  <si>
    <t xml:space="preserve">RPM máx</t>
  </si>
  <si>
    <t xml:space="preserve">Relación música</t>
  </si>
  <si>
    <t xml:space="preserve">Factor BPM</t>
  </si>
  <si>
    <t xml:space="preserve">BPM mín</t>
  </si>
  <si>
    <t xml:space="preserve">BPM máx</t>
  </si>
  <si>
    <t xml:space="preserve">Zona</t>
  </si>
  <si>
    <t xml:space="preserve">Indicación tipo del coach</t>
  </si>
  <si>
    <t xml:space="preserve">CAL</t>
  </si>
  <si>
    <t xml:space="preserve">Calentamiento</t>
  </si>
  <si>
    <t xml:space="preserve">Sentado</t>
  </si>
  <si>
    <t xml:space="preserve">1:1</t>
  </si>
  <si>
    <t xml:space="preserve">Z1</t>
  </si>
  <si>
    <t xml:space="preserve">Rueda suave, busca el ritmo de la música</t>
  </si>
  <si>
    <t xml:space="preserve">LLA</t>
  </si>
  <si>
    <t xml:space="preserve">Llano</t>
  </si>
  <si>
    <t xml:space="preserve">Z2</t>
  </si>
  <si>
    <t xml:space="preserve">Ritmo cómodo, una pedalada por golpe</t>
  </si>
  <si>
    <t xml:space="preserve">TEM</t>
  </si>
  <si>
    <t xml:space="preserve">Tempo</t>
  </si>
  <si>
    <t xml:space="preserve">Z3</t>
  </si>
  <si>
    <t xml:space="preserve">Sube un punto de rueda y mantén la cadencia</t>
  </si>
  <si>
    <t xml:space="preserve">SSU</t>
  </si>
  <si>
    <t xml:space="preserve">Subida suave</t>
  </si>
  <si>
    <t xml:space="preserve">½ tempo</t>
  </si>
  <si>
    <t xml:space="preserve">Un poco de rueda, sin apretar: subida de fondo</t>
  </si>
  <si>
    <t xml:space="preserve">SUS</t>
  </si>
  <si>
    <t xml:space="preserve">Subida sentado</t>
  </si>
  <si>
    <t xml:space="preserve">Z4</t>
  </si>
  <si>
    <t xml:space="preserve">Carga rueda, pedalada larga cada dos golpes</t>
  </si>
  <si>
    <t xml:space="preserve">SUP</t>
  </si>
  <si>
    <t xml:space="preserve">Subida de pie</t>
  </si>
  <si>
    <t xml:space="preserve">De pie</t>
  </si>
  <si>
    <t xml:space="preserve">¡Arriba! Peso sobre los pedales, cada dos golpes</t>
  </si>
  <si>
    <t xml:space="preserve">SUR</t>
  </si>
  <si>
    <t xml:space="preserve">Subida de pie (remate)</t>
  </si>
  <si>
    <t xml:space="preserve">Z5</t>
  </si>
  <si>
    <t xml:space="preserve">Última subida: rueda 8 o 9, la que puedas</t>
  </si>
  <si>
    <t xml:space="preserve">I30</t>
  </si>
  <si>
    <t xml:space="preserve">Intervalos 30/30</t>
  </si>
  <si>
    <t xml:space="preserve">Sentado / de pie</t>
  </si>
  <si>
    <t xml:space="preserve">30 s fuerte, 30 s suelta. El coach cuenta cada cambio</t>
  </si>
  <si>
    <t xml:space="preserve">I40</t>
  </si>
  <si>
    <t xml:space="preserve">Intervalos 40/20</t>
  </si>
  <si>
    <t xml:space="preserve">40 s a tope, 20 s suelta. El coach cuenta cada cambio</t>
  </si>
  <si>
    <t xml:space="preserve">I20</t>
  </si>
  <si>
    <t xml:space="preserve">Intervalos 20/10 (Tabata)</t>
  </si>
  <si>
    <t xml:space="preserve">20 s al máximo, 10 s de respiro. 6 rondas en 3′, 8 en 4′</t>
  </si>
  <si>
    <t xml:space="preserve">SPR</t>
  </si>
  <si>
    <t xml:space="preserve">Sprint</t>
  </si>
  <si>
    <t xml:space="preserve">Todo lo que tengas, rueda media</t>
  </si>
  <si>
    <t xml:space="preserve">REC</t>
  </si>
  <si>
    <t xml:space="preserve">Recuperación</t>
  </si>
  <si>
    <t xml:space="preserve">Suelta rueda, respira</t>
  </si>
  <si>
    <t xml:space="preserve">CLM</t>
  </si>
  <si>
    <t xml:space="preserve">Vuelta a la calma</t>
  </si>
  <si>
    <t xml:space="preserve">Suave</t>
  </si>
  <si>
    <t xml:space="preserve">Baja pulsaciones, estira la espalda</t>
  </si>
  <si>
    <t xml:space="preserve">Receta</t>
  </si>
  <si>
    <t xml:space="preserve">Duración (min)</t>
  </si>
  <si>
    <t xml:space="preserve">Orden</t>
  </si>
  <si>
    <t xml:space="preserve">Fase</t>
  </si>
  <si>
    <t xml:space="preserve">ID bloque</t>
  </si>
  <si>
    <t xml:space="preserve">Min</t>
  </si>
  <si>
    <t xml:space="preserve">Inicio (min)</t>
  </si>
  <si>
    <t xml:space="preserve">Rueda</t>
  </si>
  <si>
    <t xml:space="preserve">RPM</t>
  </si>
  <si>
    <t xml:space="preserve">BPM música</t>
  </si>
  <si>
    <t xml:space="preserve">Notas / dudas</t>
  </si>
  <si>
    <t xml:space="preserve">Base</t>
  </si>
  <si>
    <t xml:space="preserve">Ondulación</t>
  </si>
  <si>
    <t xml:space="preserve">Calma</t>
  </si>
  <si>
    <t xml:space="preserve">Ciclo 1</t>
  </si>
  <si>
    <t xml:space="preserve">Ciclo 2</t>
  </si>
  <si>
    <t xml:space="preserve">Ciclo 3</t>
  </si>
  <si>
    <t xml:space="preserve">Subida suave: rueda 5-6, sin apretar</t>
  </si>
  <si>
    <t xml:space="preserve">Escalón 1</t>
  </si>
  <si>
    <t xml:space="preserve">Sin escalón de llano: el calentamiento hace de base</t>
  </si>
  <si>
    <t xml:space="preserve">Escalón 2</t>
  </si>
  <si>
    <t xml:space="preserve">Escalón 3</t>
  </si>
  <si>
    <t xml:space="preserve">Escalón 4</t>
  </si>
  <si>
    <t xml:space="preserve">Final</t>
  </si>
  <si>
    <t xml:space="preserve">Serie 1</t>
  </si>
  <si>
    <t xml:space="preserve">Tabata corto: 6 rondas de 20/10 por serie</t>
  </si>
  <si>
    <t xml:space="preserve">Serie 2</t>
  </si>
  <si>
    <t xml:space="preserve">Activación progresiva</t>
  </si>
  <si>
    <t xml:space="preserve">Intensidad creciente: 40/20 y remate en 20/10</t>
  </si>
  <si>
    <t xml:space="preserve">Escalera de protocolos: 30/30 → 40/20 → 20/10 (Tabata al final)</t>
  </si>
  <si>
    <t xml:space="preserve">Serie 3</t>
  </si>
  <si>
    <t xml:space="preserve">Apoyo</t>
  </si>
  <si>
    <t xml:space="preserve">Apoyo tras las series: mantener Z3-Z4 sin buscar el máximo</t>
  </si>
  <si>
    <t xml:space="preserve">Subida 1</t>
  </si>
  <si>
    <t xml:space="preserve">Entre subidas</t>
  </si>
  <si>
    <t xml:space="preserve">Subida 2</t>
  </si>
  <si>
    <t xml:space="preserve">Activación</t>
  </si>
  <si>
    <t xml:space="preserve">Subida 3</t>
  </si>
  <si>
    <t xml:space="preserve">Remate: rueda 8-9, la que pueda cada uno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</si>
</sst>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329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3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C7CE"/>
        </patternFill>
      </fill>
    </dxf>
    <dxf>
      <fill>
        <patternFill>
          <bgColor rgb="FFD9F2D0"/>
        </patternFill>
      </fill>
    </dxf>
    <dxf>
      <fill>
        <patternFill patternType="solid">
          <fgColor rgb="FF1F232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SUMIFS(Recetas!$H$2:$H$119,Recetas!$B$2:$B$119,$A5,Recetas!$C$2:$C$119,15)</f>
        <v>15</v>
      </c>
      <c r="C5" s="5" t="n">
        <f aca="false">SUMIFS(Recetas!$H$2:$H$119,Recetas!$B$2:$B$119,$A5,Recetas!$C$2:$C$119,30)</f>
        <v>30</v>
      </c>
      <c r="D5" s="5" t="n">
        <f aca="false">SUMIFS(Recetas!$H$2:$H$119,Recetas!$B$2:$B$119,$A5,Recetas!$C$2:$C$119,45)</f>
        <v>45</v>
      </c>
      <c r="E5" s="5" t="n">
        <f aca="false">SUMIFS(Recetas!$H$2:$H$119,Recetas!$B$2:$B$119,$A5,Recetas!$C$2:$C$119,60)</f>
        <v>60</v>
      </c>
      <c r="F5" s="5" t="n">
        <f aca="false">SUMPRODUCT((Recetas!$B$2:$B$119=$A5)*(Recetas!$C$2:$C$119=60)*(LEFT(Recetas!$F$2:$F$119,1)="I")*Recetas!$H$2:$H$119)</f>
        <v>0</v>
      </c>
    </row>
    <row r="6" customFormat="false" ht="15" hidden="false" customHeight="false" outlineLevel="0" collapsed="false">
      <c r="A6" s="4" t="s">
        <v>9</v>
      </c>
      <c r="B6" s="5" t="n">
        <f aca="false">SUMIFS(Recetas!$H$2:$H$119,Recetas!$B$2:$B$119,$A6,Recetas!$C$2:$C$119,15)</f>
        <v>15</v>
      </c>
      <c r="C6" s="5" t="n">
        <f aca="false">SUMIFS(Recetas!$H$2:$H$119,Recetas!$B$2:$B$119,$A6,Recetas!$C$2:$C$119,30)</f>
        <v>30</v>
      </c>
      <c r="D6" s="5" t="n">
        <f aca="false">SUMIFS(Recetas!$H$2:$H$119,Recetas!$B$2:$B$119,$A6,Recetas!$C$2:$C$119,45)</f>
        <v>45</v>
      </c>
      <c r="E6" s="5" t="n">
        <f aca="false">SUMIFS(Recetas!$H$2:$H$119,Recetas!$B$2:$B$119,$A6,Recetas!$C$2:$C$119,60)</f>
        <v>60</v>
      </c>
      <c r="F6" s="5" t="n">
        <f aca="false">SUMPRODUCT((Recetas!$B$2:$B$119=$A6)*(Recetas!$C$2:$C$119=60)*(LEFT(Recetas!$F$2:$F$119,1)="I")*Recetas!$H$2:$H$119)</f>
        <v>0</v>
      </c>
    </row>
    <row r="7" customFormat="false" ht="15" hidden="false" customHeight="false" outlineLevel="0" collapsed="false">
      <c r="A7" s="4" t="s">
        <v>10</v>
      </c>
      <c r="B7" s="5" t="n">
        <f aca="false">SUMIFS(Recetas!$H$2:$H$119,Recetas!$B$2:$B$119,$A7,Recetas!$C$2:$C$119,15)</f>
        <v>15</v>
      </c>
      <c r="C7" s="5" t="n">
        <f aca="false">SUMIFS(Recetas!$H$2:$H$119,Recetas!$B$2:$B$119,$A7,Recetas!$C$2:$C$119,30)</f>
        <v>30</v>
      </c>
      <c r="D7" s="5" t="n">
        <f aca="false">SUMIFS(Recetas!$H$2:$H$119,Recetas!$B$2:$B$119,$A7,Recetas!$C$2:$C$119,45)</f>
        <v>45</v>
      </c>
      <c r="E7" s="5" t="n">
        <f aca="false">SUMIFS(Recetas!$H$2:$H$119,Recetas!$B$2:$B$119,$A7,Recetas!$C$2:$C$119,60)</f>
        <v>60</v>
      </c>
      <c r="F7" s="5" t="n">
        <f aca="false">SUMPRODUCT((Recetas!$B$2:$B$119=$A7)*(Recetas!$C$2:$C$119=60)*(LEFT(Recetas!$F$2:$F$119,1)="I")*Recetas!$H$2:$H$119)</f>
        <v>12</v>
      </c>
    </row>
    <row r="8" customFormat="false" ht="15" hidden="false" customHeight="false" outlineLevel="0" collapsed="false">
      <c r="A8" s="4" t="s">
        <v>11</v>
      </c>
      <c r="B8" s="5" t="n">
        <f aca="false">SUMIFS(Recetas!$H$2:$H$119,Recetas!$B$2:$B$119,$A8,Recetas!$C$2:$C$119,15)</f>
        <v>15</v>
      </c>
      <c r="C8" s="5" t="n">
        <f aca="false">SUMIFS(Recetas!$H$2:$H$119,Recetas!$B$2:$B$119,$A8,Recetas!$C$2:$C$119,30)</f>
        <v>30</v>
      </c>
      <c r="D8" s="5" t="n">
        <f aca="false">SUMIFS(Recetas!$H$2:$H$119,Recetas!$B$2:$B$119,$A8,Recetas!$C$2:$C$119,45)</f>
        <v>45</v>
      </c>
      <c r="E8" s="5" t="n">
        <f aca="false">SUMIFS(Recetas!$H$2:$H$119,Recetas!$B$2:$B$119,$A8,Recetas!$C$2:$C$119,60)</f>
        <v>60</v>
      </c>
      <c r="F8" s="5" t="n">
        <f aca="false">SUMPRODUCT((Recetas!$B$2:$B$119=$A8)*(Recetas!$C$2:$C$119=60)*(LEFT(Recetas!$F$2:$F$119,1)="I")*Recetas!$H$2:$H$119)</f>
        <v>0</v>
      </c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6" t="s">
        <v>13</v>
      </c>
    </row>
    <row r="13" customFormat="false" ht="15" hidden="false" customHeight="false" outlineLevel="0" collapsed="false">
      <c r="A13" s="6" t="s">
        <v>14</v>
      </c>
    </row>
    <row r="14" customFormat="false" ht="15" hidden="false" customHeight="false" outlineLevel="0" collapsed="false">
      <c r="A14" s="6" t="s">
        <v>15</v>
      </c>
    </row>
    <row r="15" customFormat="false" ht="15" hidden="false" customHeight="false" outlineLevel="0" collapsed="false">
      <c r="A15" s="6" t="s">
        <v>16</v>
      </c>
    </row>
    <row r="17" customFormat="false" ht="15" hidden="false" customHeight="false" outlineLevel="0" collapsed="false">
      <c r="A17" s="4" t="s">
        <v>17</v>
      </c>
    </row>
    <row r="18" customFormat="false" ht="15" hidden="false" customHeight="false" outlineLevel="0" collapsed="false">
      <c r="A18" s="6" t="s">
        <v>18</v>
      </c>
    </row>
    <row r="19" customFormat="false" ht="15" hidden="false" customHeight="false" outlineLevel="0" collapsed="false">
      <c r="A19" s="6" t="s">
        <v>19</v>
      </c>
    </row>
    <row r="20" customFormat="false" ht="15" hidden="false" customHeight="false" outlineLevel="0" collapsed="false">
      <c r="A20" s="6" t="s">
        <v>20</v>
      </c>
    </row>
    <row r="21" customFormat="false" ht="15" hidden="false" customHeight="false" outlineLevel="0" collapsed="false">
      <c r="A21" s="6" t="s">
        <v>21</v>
      </c>
    </row>
    <row r="22" customFormat="false" ht="15" hidden="false" customHeight="false" outlineLevel="0" collapsed="false">
      <c r="A22" s="6" t="s">
        <v>22</v>
      </c>
    </row>
    <row r="23" customFormat="false" ht="15" hidden="false" customHeight="false" outlineLevel="0" collapsed="false">
      <c r="A23" s="6" t="s">
        <v>23</v>
      </c>
    </row>
    <row r="24" customFormat="false" ht="15" hidden="false" customHeight="false" outlineLevel="0" collapsed="false">
      <c r="A24" s="6" t="s">
        <v>24</v>
      </c>
    </row>
    <row r="25" customFormat="false" ht="15" hidden="false" customHeight="false" outlineLevel="0" collapsed="false">
      <c r="A25" s="6" t="s">
        <v>25</v>
      </c>
    </row>
  </sheetData>
  <conditionalFormatting sqref="B5:B8">
    <cfRule type="expression" priority="2" aboveAverage="0" equalAverage="0" bottom="0" percent="0" rank="0" text="" dxfId="0">
      <formula>B5&lt;&gt;15</formula>
    </cfRule>
    <cfRule type="expression" priority="3" aboveAverage="0" equalAverage="0" bottom="0" percent="0" rank="0" text="" dxfId="1">
      <formula>B5=15</formula>
    </cfRule>
  </conditionalFormatting>
  <conditionalFormatting sqref="C5:C8">
    <cfRule type="expression" priority="4" aboveAverage="0" equalAverage="0" bottom="0" percent="0" rank="0" text="" dxfId="0">
      <formula>C5&lt;&gt;30</formula>
    </cfRule>
    <cfRule type="expression" priority="5" aboveAverage="0" equalAverage="0" bottom="0" percent="0" rank="0" text="" dxfId="1">
      <formula>C5=30</formula>
    </cfRule>
  </conditionalFormatting>
  <conditionalFormatting sqref="D5:D8">
    <cfRule type="expression" priority="6" aboveAverage="0" equalAverage="0" bottom="0" percent="0" rank="0" text="" dxfId="0">
      <formula>D5&lt;&gt;45</formula>
    </cfRule>
    <cfRule type="expression" priority="7" aboveAverage="0" equalAverage="0" bottom="0" percent="0" rank="0" text="" dxfId="1">
      <formula>D5=45</formula>
    </cfRule>
  </conditionalFormatting>
  <conditionalFormatting sqref="E5:E8">
    <cfRule type="expression" priority="8" aboveAverage="0" equalAverage="0" bottom="0" percent="0" rank="0" text="" dxfId="0">
      <formula>E5&lt;&gt;60</formula>
    </cfRule>
    <cfRule type="expression" priority="9" aboveAverage="0" equalAverage="0" bottom="0" percent="0" rank="0" text="" dxfId="1">
      <formula>E5=60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7" min="6" style="0" width="9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7"/>
    <col collapsed="false" customWidth="true" hidden="false" outlineLevel="0" max="13" min="13" style="0" width="52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</row>
    <row r="2" customFormat="false" ht="15" hidden="false" customHeight="false" outlineLevel="0" collapsed="false">
      <c r="A2" s="7" t="s">
        <v>39</v>
      </c>
      <c r="B2" s="7" t="s">
        <v>40</v>
      </c>
      <c r="C2" s="7" t="s">
        <v>41</v>
      </c>
      <c r="D2" s="7" t="n">
        <v>2</v>
      </c>
      <c r="E2" s="7" t="n">
        <v>3</v>
      </c>
      <c r="F2" s="7" t="n">
        <v>85</v>
      </c>
      <c r="G2" s="7" t="n">
        <v>95</v>
      </c>
      <c r="H2" s="7" t="s">
        <v>42</v>
      </c>
      <c r="I2" s="7" t="n">
        <v>1</v>
      </c>
      <c r="J2" s="8" t="n">
        <f aca="false">F2*I2</f>
        <v>85</v>
      </c>
      <c r="K2" s="8" t="n">
        <f aca="false">G2*I2</f>
        <v>95</v>
      </c>
      <c r="L2" s="7" t="s">
        <v>43</v>
      </c>
      <c r="M2" s="7" t="s">
        <v>44</v>
      </c>
    </row>
    <row r="3" customFormat="false" ht="15" hidden="false" customHeight="false" outlineLevel="0" collapsed="false">
      <c r="A3" s="7" t="s">
        <v>45</v>
      </c>
      <c r="B3" s="7" t="s">
        <v>46</v>
      </c>
      <c r="C3" s="7" t="s">
        <v>41</v>
      </c>
      <c r="D3" s="7" t="n">
        <v>3</v>
      </c>
      <c r="E3" s="7" t="n">
        <v>4</v>
      </c>
      <c r="F3" s="7" t="n">
        <v>90</v>
      </c>
      <c r="G3" s="7" t="n">
        <v>100</v>
      </c>
      <c r="H3" s="7" t="s">
        <v>42</v>
      </c>
      <c r="I3" s="7" t="n">
        <v>1</v>
      </c>
      <c r="J3" s="8" t="n">
        <f aca="false">F3*I3</f>
        <v>90</v>
      </c>
      <c r="K3" s="8" t="n">
        <f aca="false">G3*I3</f>
        <v>100</v>
      </c>
      <c r="L3" s="7" t="s">
        <v>47</v>
      </c>
      <c r="M3" s="7" t="s">
        <v>48</v>
      </c>
    </row>
    <row r="4" customFormat="false" ht="15" hidden="false" customHeight="false" outlineLevel="0" collapsed="false">
      <c r="A4" s="7" t="s">
        <v>49</v>
      </c>
      <c r="B4" s="7" t="s">
        <v>50</v>
      </c>
      <c r="C4" s="7" t="s">
        <v>41</v>
      </c>
      <c r="D4" s="7" t="n">
        <v>5</v>
      </c>
      <c r="E4" s="7" t="n">
        <v>6</v>
      </c>
      <c r="F4" s="7" t="n">
        <v>90</v>
      </c>
      <c r="G4" s="7" t="n">
        <v>100</v>
      </c>
      <c r="H4" s="7" t="s">
        <v>42</v>
      </c>
      <c r="I4" s="7" t="n">
        <v>1</v>
      </c>
      <c r="J4" s="8" t="n">
        <f aca="false">F4*I4</f>
        <v>90</v>
      </c>
      <c r="K4" s="8" t="n">
        <f aca="false">G4*I4</f>
        <v>100</v>
      </c>
      <c r="L4" s="7" t="s">
        <v>51</v>
      </c>
      <c r="M4" s="7" t="s">
        <v>52</v>
      </c>
    </row>
    <row r="5" customFormat="false" ht="15" hidden="false" customHeight="false" outlineLevel="0" collapsed="false">
      <c r="A5" s="7" t="s">
        <v>53</v>
      </c>
      <c r="B5" s="7" t="s">
        <v>54</v>
      </c>
      <c r="C5" s="7" t="s">
        <v>41</v>
      </c>
      <c r="D5" s="7" t="n">
        <v>5</v>
      </c>
      <c r="E5" s="7" t="n">
        <v>6</v>
      </c>
      <c r="F5" s="7" t="n">
        <v>75</v>
      </c>
      <c r="G5" s="7" t="n">
        <v>85</v>
      </c>
      <c r="H5" s="7" t="s">
        <v>55</v>
      </c>
      <c r="I5" s="7" t="n">
        <v>2</v>
      </c>
      <c r="J5" s="8" t="n">
        <f aca="false">F5*I5</f>
        <v>150</v>
      </c>
      <c r="K5" s="8" t="n">
        <f aca="false">G5*I5</f>
        <v>170</v>
      </c>
      <c r="L5" s="7" t="s">
        <v>51</v>
      </c>
      <c r="M5" s="7" t="s">
        <v>56</v>
      </c>
    </row>
    <row r="6" customFormat="false" ht="15" hidden="false" customHeight="false" outlineLevel="0" collapsed="false">
      <c r="A6" s="7" t="s">
        <v>57</v>
      </c>
      <c r="B6" s="7" t="s">
        <v>58</v>
      </c>
      <c r="C6" s="7" t="s">
        <v>41</v>
      </c>
      <c r="D6" s="7" t="n">
        <v>6</v>
      </c>
      <c r="E6" s="7" t="n">
        <v>7</v>
      </c>
      <c r="F6" s="7" t="n">
        <v>70</v>
      </c>
      <c r="G6" s="7" t="n">
        <v>80</v>
      </c>
      <c r="H6" s="7" t="s">
        <v>55</v>
      </c>
      <c r="I6" s="7" t="n">
        <v>2</v>
      </c>
      <c r="J6" s="8" t="n">
        <f aca="false">F6*I6</f>
        <v>140</v>
      </c>
      <c r="K6" s="8" t="n">
        <f aca="false">G6*I6</f>
        <v>160</v>
      </c>
      <c r="L6" s="7" t="s">
        <v>59</v>
      </c>
      <c r="M6" s="7" t="s">
        <v>60</v>
      </c>
    </row>
    <row r="7" customFormat="false" ht="15" hidden="false" customHeight="false" outlineLevel="0" collapsed="false">
      <c r="A7" s="7" t="s">
        <v>61</v>
      </c>
      <c r="B7" s="7" t="s">
        <v>62</v>
      </c>
      <c r="C7" s="7" t="s">
        <v>63</v>
      </c>
      <c r="D7" s="7" t="n">
        <v>7</v>
      </c>
      <c r="E7" s="7" t="n">
        <v>8</v>
      </c>
      <c r="F7" s="7" t="n">
        <v>60</v>
      </c>
      <c r="G7" s="7" t="n">
        <v>75</v>
      </c>
      <c r="H7" s="7" t="s">
        <v>55</v>
      </c>
      <c r="I7" s="7" t="n">
        <v>2</v>
      </c>
      <c r="J7" s="8" t="n">
        <f aca="false">F7*I7</f>
        <v>120</v>
      </c>
      <c r="K7" s="8" t="n">
        <f aca="false">G7*I7</f>
        <v>150</v>
      </c>
      <c r="L7" s="7" t="s">
        <v>59</v>
      </c>
      <c r="M7" s="7" t="s">
        <v>64</v>
      </c>
    </row>
    <row r="8" customFormat="false" ht="15" hidden="false" customHeight="false" outlineLevel="0" collapsed="false">
      <c r="A8" s="7" t="s">
        <v>65</v>
      </c>
      <c r="B8" s="7" t="s">
        <v>66</v>
      </c>
      <c r="C8" s="7" t="s">
        <v>63</v>
      </c>
      <c r="D8" s="7" t="n">
        <v>8</v>
      </c>
      <c r="E8" s="7" t="n">
        <v>9</v>
      </c>
      <c r="F8" s="7" t="n">
        <v>60</v>
      </c>
      <c r="G8" s="7" t="n">
        <v>70</v>
      </c>
      <c r="H8" s="7" t="s">
        <v>55</v>
      </c>
      <c r="I8" s="7" t="n">
        <v>2</v>
      </c>
      <c r="J8" s="8" t="n">
        <f aca="false">F8*I8</f>
        <v>120</v>
      </c>
      <c r="K8" s="8" t="n">
        <f aca="false">G8*I8</f>
        <v>140</v>
      </c>
      <c r="L8" s="7" t="s">
        <v>67</v>
      </c>
      <c r="M8" s="7" t="s">
        <v>68</v>
      </c>
    </row>
    <row r="9" customFormat="false" ht="15" hidden="false" customHeight="false" outlineLevel="0" collapsed="false">
      <c r="A9" s="7" t="s">
        <v>69</v>
      </c>
      <c r="B9" s="7" t="s">
        <v>70</v>
      </c>
      <c r="C9" s="7" t="s">
        <v>71</v>
      </c>
      <c r="D9" s="7" t="n">
        <v>6</v>
      </c>
      <c r="E9" s="7" t="n">
        <v>7</v>
      </c>
      <c r="F9" s="7" t="n">
        <v>100</v>
      </c>
      <c r="G9" s="7" t="n">
        <v>110</v>
      </c>
      <c r="H9" s="7" t="s">
        <v>42</v>
      </c>
      <c r="I9" s="7" t="n">
        <v>1</v>
      </c>
      <c r="J9" s="8" t="n">
        <f aca="false">F9*I9</f>
        <v>100</v>
      </c>
      <c r="K9" s="8" t="n">
        <f aca="false">G9*I9</f>
        <v>110</v>
      </c>
      <c r="L9" s="7" t="s">
        <v>59</v>
      </c>
      <c r="M9" s="7" t="s">
        <v>72</v>
      </c>
    </row>
    <row r="10" customFormat="false" ht="15" hidden="false" customHeight="false" outlineLevel="0" collapsed="false">
      <c r="A10" s="7" t="s">
        <v>73</v>
      </c>
      <c r="B10" s="7" t="s">
        <v>74</v>
      </c>
      <c r="C10" s="7" t="s">
        <v>71</v>
      </c>
      <c r="D10" s="7" t="n">
        <v>6</v>
      </c>
      <c r="E10" s="7" t="n">
        <v>8</v>
      </c>
      <c r="F10" s="7" t="n">
        <v>100</v>
      </c>
      <c r="G10" s="7" t="n">
        <v>115</v>
      </c>
      <c r="H10" s="7" t="s">
        <v>42</v>
      </c>
      <c r="I10" s="7" t="n">
        <v>1</v>
      </c>
      <c r="J10" s="8" t="n">
        <f aca="false">F10*I10</f>
        <v>100</v>
      </c>
      <c r="K10" s="8" t="n">
        <f aca="false">G10*I10</f>
        <v>115</v>
      </c>
      <c r="L10" s="7" t="s">
        <v>67</v>
      </c>
      <c r="M10" s="7" t="s">
        <v>75</v>
      </c>
    </row>
    <row r="11" customFormat="false" ht="15" hidden="false" customHeight="false" outlineLevel="0" collapsed="false">
      <c r="A11" s="7" t="s">
        <v>76</v>
      </c>
      <c r="B11" s="7" t="s">
        <v>77</v>
      </c>
      <c r="C11" s="7" t="s">
        <v>71</v>
      </c>
      <c r="D11" s="7" t="n">
        <v>7</v>
      </c>
      <c r="E11" s="7" t="n">
        <v>9</v>
      </c>
      <c r="F11" s="7" t="n">
        <v>105</v>
      </c>
      <c r="G11" s="7" t="n">
        <v>120</v>
      </c>
      <c r="H11" s="7" t="s">
        <v>42</v>
      </c>
      <c r="I11" s="7" t="n">
        <v>1</v>
      </c>
      <c r="J11" s="8" t="n">
        <f aca="false">F11*I11</f>
        <v>105</v>
      </c>
      <c r="K11" s="8" t="n">
        <f aca="false">G11*I11</f>
        <v>120</v>
      </c>
      <c r="L11" s="7" t="s">
        <v>67</v>
      </c>
      <c r="M11" s="7" t="s">
        <v>78</v>
      </c>
    </row>
    <row r="12" customFormat="false" ht="15" hidden="false" customHeight="false" outlineLevel="0" collapsed="false">
      <c r="A12" s="7" t="s">
        <v>79</v>
      </c>
      <c r="B12" s="7" t="s">
        <v>80</v>
      </c>
      <c r="C12" s="7" t="s">
        <v>41</v>
      </c>
      <c r="D12" s="7" t="n">
        <v>5</v>
      </c>
      <c r="E12" s="7" t="n">
        <v>6</v>
      </c>
      <c r="F12" s="7" t="n">
        <v>100</v>
      </c>
      <c r="G12" s="7" t="n">
        <v>120</v>
      </c>
      <c r="H12" s="7" t="s">
        <v>42</v>
      </c>
      <c r="I12" s="7" t="n">
        <v>1</v>
      </c>
      <c r="J12" s="8" t="n">
        <f aca="false">F12*I12</f>
        <v>100</v>
      </c>
      <c r="K12" s="8" t="n">
        <f aca="false">G12*I12</f>
        <v>120</v>
      </c>
      <c r="L12" s="7" t="s">
        <v>67</v>
      </c>
      <c r="M12" s="7" t="s">
        <v>81</v>
      </c>
    </row>
    <row r="13" customFormat="false" ht="15" hidden="false" customHeight="false" outlineLevel="0" collapsed="false">
      <c r="A13" s="7" t="s">
        <v>82</v>
      </c>
      <c r="B13" s="7" t="s">
        <v>83</v>
      </c>
      <c r="C13" s="7" t="s">
        <v>41</v>
      </c>
      <c r="D13" s="7" t="n">
        <v>2</v>
      </c>
      <c r="E13" s="7" t="n">
        <v>3</v>
      </c>
      <c r="F13" s="7" t="n">
        <v>80</v>
      </c>
      <c r="G13" s="7" t="n">
        <v>90</v>
      </c>
      <c r="H13" s="7" t="s">
        <v>42</v>
      </c>
      <c r="I13" s="7" t="n">
        <v>1</v>
      </c>
      <c r="J13" s="8" t="n">
        <f aca="false">F13*I13</f>
        <v>80</v>
      </c>
      <c r="K13" s="8" t="n">
        <f aca="false">G13*I13</f>
        <v>90</v>
      </c>
      <c r="L13" s="7" t="s">
        <v>43</v>
      </c>
      <c r="M13" s="7" t="s">
        <v>84</v>
      </c>
    </row>
    <row r="14" customFormat="false" ht="15" hidden="false" customHeight="false" outlineLevel="0" collapsed="false">
      <c r="A14" s="7" t="s">
        <v>85</v>
      </c>
      <c r="B14" s="7" t="s">
        <v>86</v>
      </c>
      <c r="C14" s="7" t="s">
        <v>41</v>
      </c>
      <c r="D14" s="7" t="n">
        <v>1</v>
      </c>
      <c r="E14" s="7" t="n">
        <v>2</v>
      </c>
      <c r="F14" s="7" t="n">
        <v>70</v>
      </c>
      <c r="G14" s="7" t="n">
        <v>90</v>
      </c>
      <c r="H14" s="7" t="s">
        <v>87</v>
      </c>
      <c r="I14" s="7" t="n">
        <v>1</v>
      </c>
      <c r="J14" s="8" t="n">
        <f aca="false">F14*I14</f>
        <v>70</v>
      </c>
      <c r="K14" s="8" t="n">
        <f aca="false">G14*I14</f>
        <v>90</v>
      </c>
      <c r="L14" s="7" t="s">
        <v>43</v>
      </c>
      <c r="M14" s="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70"/>
  </cols>
  <sheetData>
    <row r="1" customFormat="false" ht="15" hidden="false" customHeight="false" outlineLevel="0" collapsed="false">
      <c r="A1" s="3" t="s">
        <v>89</v>
      </c>
      <c r="B1" s="3" t="s">
        <v>2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27</v>
      </c>
      <c r="H1" s="3" t="s">
        <v>94</v>
      </c>
      <c r="I1" s="3" t="s">
        <v>95</v>
      </c>
      <c r="J1" s="3" t="s">
        <v>28</v>
      </c>
      <c r="K1" s="3" t="s">
        <v>96</v>
      </c>
      <c r="L1" s="3" t="s">
        <v>97</v>
      </c>
      <c r="M1" s="3" t="s">
        <v>98</v>
      </c>
      <c r="N1" s="3" t="s">
        <v>99</v>
      </c>
    </row>
    <row r="2" customFormat="false" ht="15" hidden="false" customHeight="false" outlineLevel="0" collapsed="false">
      <c r="A2" s="8" t="str">
        <f aca="false">B2&amp;" "&amp;C2&amp;"′"</f>
        <v>Continuo 15′</v>
      </c>
      <c r="B2" s="7" t="s">
        <v>8</v>
      </c>
      <c r="C2" s="7" t="n">
        <v>15</v>
      </c>
      <c r="D2" s="7" t="n">
        <v>1</v>
      </c>
      <c r="E2" s="7" t="s">
        <v>40</v>
      </c>
      <c r="F2" s="7" t="s">
        <v>39</v>
      </c>
      <c r="G2" s="9" t="str">
        <f aca="false">INDEX(Bloques!$B$2:$B$20,MATCH($F2,Bloques!$A$2:$A$20,0))</f>
        <v>Calentamiento</v>
      </c>
      <c r="H2" s="7" t="n">
        <v>4</v>
      </c>
      <c r="I2" s="8" t="n">
        <v>0</v>
      </c>
      <c r="J2" s="9" t="str">
        <f aca="false">INDEX(Bloques!$C$2:$C$20,MATCH($F2,Bloques!$A$2:$A$20,0))</f>
        <v>Sentado</v>
      </c>
      <c r="K2" s="9" t="str">
        <f aca="false">INDEX(Bloques!$D$2:$D$20,MATCH($F2,Bloques!$A$2:$A$20,0))&amp;"–"&amp;INDEX(Bloques!$E$2:$E$20,MATCH($F2,Bloques!$A$2:$A$20,0))</f>
        <v>2–3</v>
      </c>
      <c r="L2" s="9" t="str">
        <f aca="false">INDEX(Bloques!$F$2:$F$20,MATCH($F2,Bloques!$A$2:$A$20,0))&amp;"–"&amp;INDEX(Bloques!$G$2:$G$20,MATCH($F2,Bloques!$A$2:$A$20,0))</f>
        <v>85–95</v>
      </c>
      <c r="M2" s="9" t="str">
        <f aca="false">INDEX(Bloques!$J$2:$J$20,MATCH($F2,Bloques!$A$2:$A$20,0))&amp;"–"&amp;INDEX(Bloques!$K$2:$K$20,MATCH($F2,Bloques!$A$2:$A$20,0))</f>
        <v>85–95</v>
      </c>
      <c r="N2" s="7"/>
    </row>
    <row r="3" customFormat="false" ht="15" hidden="false" customHeight="false" outlineLevel="0" collapsed="false">
      <c r="A3" s="8" t="str">
        <f aca="false">B3&amp;" "&amp;C3&amp;"′"</f>
        <v>Continuo 15′</v>
      </c>
      <c r="B3" s="7" t="s">
        <v>8</v>
      </c>
      <c r="C3" s="7" t="n">
        <v>15</v>
      </c>
      <c r="D3" s="7" t="n">
        <v>2</v>
      </c>
      <c r="E3" s="7" t="s">
        <v>100</v>
      </c>
      <c r="F3" s="7" t="s">
        <v>45</v>
      </c>
      <c r="G3" s="9" t="str">
        <f aca="false">INDEX(Bloques!$B$2:$B$20,MATCH($F3,Bloques!$A$2:$A$20,0))</f>
        <v>Llano</v>
      </c>
      <c r="H3" s="7" t="n">
        <v>4</v>
      </c>
      <c r="I3" s="8" t="n">
        <f aca="false">I2+H2</f>
        <v>4</v>
      </c>
      <c r="J3" s="9" t="str">
        <f aca="false">INDEX(Bloques!$C$2:$C$20,MATCH($F3,Bloques!$A$2:$A$20,0))</f>
        <v>Sentado</v>
      </c>
      <c r="K3" s="9" t="str">
        <f aca="false">INDEX(Bloques!$D$2:$D$20,MATCH($F3,Bloques!$A$2:$A$20,0))&amp;"–"&amp;INDEX(Bloques!$E$2:$E$20,MATCH($F3,Bloques!$A$2:$A$20,0))</f>
        <v>3–4</v>
      </c>
      <c r="L3" s="9" t="str">
        <f aca="false">INDEX(Bloques!$F$2:$F$20,MATCH($F3,Bloques!$A$2:$A$20,0))&amp;"–"&amp;INDEX(Bloques!$G$2:$G$20,MATCH($F3,Bloques!$A$2:$A$20,0))</f>
        <v>90–100</v>
      </c>
      <c r="M3" s="9" t="str">
        <f aca="false">INDEX(Bloques!$J$2:$J$20,MATCH($F3,Bloques!$A$2:$A$20,0))&amp;"–"&amp;INDEX(Bloques!$K$2:$K$20,MATCH($F3,Bloques!$A$2:$A$20,0))</f>
        <v>90–100</v>
      </c>
      <c r="N3" s="7"/>
    </row>
    <row r="4" customFormat="false" ht="15" hidden="false" customHeight="false" outlineLevel="0" collapsed="false">
      <c r="A4" s="8" t="str">
        <f aca="false">B4&amp;" "&amp;C4&amp;"′"</f>
        <v>Continuo 15′</v>
      </c>
      <c r="B4" s="7" t="s">
        <v>8</v>
      </c>
      <c r="C4" s="7" t="n">
        <v>15</v>
      </c>
      <c r="D4" s="7" t="n">
        <v>3</v>
      </c>
      <c r="E4" s="7" t="s">
        <v>101</v>
      </c>
      <c r="F4" s="7" t="s">
        <v>49</v>
      </c>
      <c r="G4" s="9" t="str">
        <f aca="false">INDEX(Bloques!$B$2:$B$20,MATCH($F4,Bloques!$A$2:$A$20,0))</f>
        <v>Tempo</v>
      </c>
      <c r="H4" s="7" t="n">
        <v>4</v>
      </c>
      <c r="I4" s="8" t="n">
        <f aca="false">I3+H3</f>
        <v>8</v>
      </c>
      <c r="J4" s="9" t="str">
        <f aca="false">INDEX(Bloques!$C$2:$C$20,MATCH($F4,Bloques!$A$2:$A$20,0))</f>
        <v>Sentado</v>
      </c>
      <c r="K4" s="9" t="str">
        <f aca="false">INDEX(Bloques!$D$2:$D$20,MATCH($F4,Bloques!$A$2:$A$20,0))&amp;"–"&amp;INDEX(Bloques!$E$2:$E$20,MATCH($F4,Bloques!$A$2:$A$20,0))</f>
        <v>5–6</v>
      </c>
      <c r="L4" s="9" t="str">
        <f aca="false">INDEX(Bloques!$F$2:$F$20,MATCH($F4,Bloques!$A$2:$A$20,0))&amp;"–"&amp;INDEX(Bloques!$G$2:$G$20,MATCH($F4,Bloques!$A$2:$A$20,0))</f>
        <v>90–100</v>
      </c>
      <c r="M4" s="9" t="str">
        <f aca="false">INDEX(Bloques!$J$2:$J$20,MATCH($F4,Bloques!$A$2:$A$20,0))&amp;"–"&amp;INDEX(Bloques!$K$2:$K$20,MATCH($F4,Bloques!$A$2:$A$20,0))</f>
        <v>90–100</v>
      </c>
      <c r="N4" s="7"/>
    </row>
    <row r="5" customFormat="false" ht="15" hidden="false" customHeight="false" outlineLevel="0" collapsed="false">
      <c r="A5" s="8" t="str">
        <f aca="false">B5&amp;" "&amp;C5&amp;"′"</f>
        <v>Continuo 15′</v>
      </c>
      <c r="B5" s="7" t="s">
        <v>8</v>
      </c>
      <c r="C5" s="7" t="n">
        <v>15</v>
      </c>
      <c r="D5" s="7" t="n">
        <v>4</v>
      </c>
      <c r="E5" s="7" t="s">
        <v>102</v>
      </c>
      <c r="F5" s="7" t="s">
        <v>85</v>
      </c>
      <c r="G5" s="9" t="str">
        <f aca="false">INDEX(Bloques!$B$2:$B$20,MATCH($F5,Bloques!$A$2:$A$20,0))</f>
        <v>Vuelta a la calma</v>
      </c>
      <c r="H5" s="7" t="n">
        <v>3</v>
      </c>
      <c r="I5" s="8" t="n">
        <f aca="false">I4+H4</f>
        <v>12</v>
      </c>
      <c r="J5" s="9" t="str">
        <f aca="false">INDEX(Bloques!$C$2:$C$20,MATCH($F5,Bloques!$A$2:$A$20,0))</f>
        <v>Sentado</v>
      </c>
      <c r="K5" s="9" t="str">
        <f aca="false">INDEX(Bloques!$D$2:$D$20,MATCH($F5,Bloques!$A$2:$A$20,0))&amp;"–"&amp;INDEX(Bloques!$E$2:$E$20,MATCH($F5,Bloques!$A$2:$A$20,0))</f>
        <v>1–2</v>
      </c>
      <c r="L5" s="9" t="str">
        <f aca="false">INDEX(Bloques!$F$2:$F$20,MATCH($F5,Bloques!$A$2:$A$20,0))&amp;"–"&amp;INDEX(Bloques!$G$2:$G$20,MATCH($F5,Bloques!$A$2:$A$20,0))</f>
        <v>70–90</v>
      </c>
      <c r="M5" s="9" t="str">
        <f aca="false">INDEX(Bloques!$J$2:$J$20,MATCH($F5,Bloques!$A$2:$A$20,0))&amp;"–"&amp;INDEX(Bloques!$K$2:$K$20,MATCH($F5,Bloques!$A$2:$A$20,0))</f>
        <v>70–90</v>
      </c>
      <c r="N5" s="7"/>
    </row>
    <row r="6" customFormat="false" ht="15" hidden="false" customHeight="false" outlineLevel="0" collapsed="false">
      <c r="A6" s="8" t="str">
        <f aca="false">B6&amp;" "&amp;C6&amp;"′"</f>
        <v>Continuo 30′</v>
      </c>
      <c r="B6" s="7" t="s">
        <v>8</v>
      </c>
      <c r="C6" s="7" t="n">
        <v>30</v>
      </c>
      <c r="D6" s="7" t="n">
        <v>1</v>
      </c>
      <c r="E6" s="7" t="s">
        <v>40</v>
      </c>
      <c r="F6" s="7" t="s">
        <v>39</v>
      </c>
      <c r="G6" s="9" t="str">
        <f aca="false">INDEX(Bloques!$B$2:$B$20,MATCH($F6,Bloques!$A$2:$A$20,0))</f>
        <v>Calentamiento</v>
      </c>
      <c r="H6" s="7" t="n">
        <v>6</v>
      </c>
      <c r="I6" s="8" t="n">
        <v>0</v>
      </c>
      <c r="J6" s="9" t="str">
        <f aca="false">INDEX(Bloques!$C$2:$C$20,MATCH($F6,Bloques!$A$2:$A$20,0))</f>
        <v>Sentado</v>
      </c>
      <c r="K6" s="9" t="str">
        <f aca="false">INDEX(Bloques!$D$2:$D$20,MATCH($F6,Bloques!$A$2:$A$20,0))&amp;"–"&amp;INDEX(Bloques!$E$2:$E$20,MATCH($F6,Bloques!$A$2:$A$20,0))</f>
        <v>2–3</v>
      </c>
      <c r="L6" s="9" t="str">
        <f aca="false">INDEX(Bloques!$F$2:$F$20,MATCH($F6,Bloques!$A$2:$A$20,0))&amp;"–"&amp;INDEX(Bloques!$G$2:$G$20,MATCH($F6,Bloques!$A$2:$A$20,0))</f>
        <v>85–95</v>
      </c>
      <c r="M6" s="9" t="str">
        <f aca="false">INDEX(Bloques!$J$2:$J$20,MATCH($F6,Bloques!$A$2:$A$20,0))&amp;"–"&amp;INDEX(Bloques!$K$2:$K$20,MATCH($F6,Bloques!$A$2:$A$20,0))</f>
        <v>85–95</v>
      </c>
      <c r="N6" s="7"/>
    </row>
    <row r="7" customFormat="false" ht="15" hidden="false" customHeight="false" outlineLevel="0" collapsed="false">
      <c r="A7" s="8" t="str">
        <f aca="false">B7&amp;" "&amp;C7&amp;"′"</f>
        <v>Continuo 30′</v>
      </c>
      <c r="B7" s="7" t="s">
        <v>8</v>
      </c>
      <c r="C7" s="7" t="n">
        <v>30</v>
      </c>
      <c r="D7" s="7" t="n">
        <v>2</v>
      </c>
      <c r="E7" s="7" t="s">
        <v>103</v>
      </c>
      <c r="F7" s="7" t="s">
        <v>45</v>
      </c>
      <c r="G7" s="9" t="str">
        <f aca="false">INDEX(Bloques!$B$2:$B$20,MATCH($F7,Bloques!$A$2:$A$20,0))</f>
        <v>Llano</v>
      </c>
      <c r="H7" s="7" t="n">
        <v>6</v>
      </c>
      <c r="I7" s="8" t="n">
        <f aca="false">I6+H6</f>
        <v>6</v>
      </c>
      <c r="J7" s="9" t="str">
        <f aca="false">INDEX(Bloques!$C$2:$C$20,MATCH($F7,Bloques!$A$2:$A$20,0))</f>
        <v>Sentado</v>
      </c>
      <c r="K7" s="9" t="str">
        <f aca="false">INDEX(Bloques!$D$2:$D$20,MATCH($F7,Bloques!$A$2:$A$20,0))&amp;"–"&amp;INDEX(Bloques!$E$2:$E$20,MATCH($F7,Bloques!$A$2:$A$20,0))</f>
        <v>3–4</v>
      </c>
      <c r="L7" s="9" t="str">
        <f aca="false">INDEX(Bloques!$F$2:$F$20,MATCH($F7,Bloques!$A$2:$A$20,0))&amp;"–"&amp;INDEX(Bloques!$G$2:$G$20,MATCH($F7,Bloques!$A$2:$A$20,0))</f>
        <v>90–100</v>
      </c>
      <c r="M7" s="9" t="str">
        <f aca="false">INDEX(Bloques!$J$2:$J$20,MATCH($F7,Bloques!$A$2:$A$20,0))&amp;"–"&amp;INDEX(Bloques!$K$2:$K$20,MATCH($F7,Bloques!$A$2:$A$20,0))</f>
        <v>90–100</v>
      </c>
      <c r="N7" s="7"/>
    </row>
    <row r="8" customFormat="false" ht="15" hidden="false" customHeight="false" outlineLevel="0" collapsed="false">
      <c r="A8" s="8" t="str">
        <f aca="false">B8&amp;" "&amp;C8&amp;"′"</f>
        <v>Continuo 30′</v>
      </c>
      <c r="B8" s="7" t="s">
        <v>8</v>
      </c>
      <c r="C8" s="7" t="n">
        <v>30</v>
      </c>
      <c r="D8" s="7" t="n">
        <v>3</v>
      </c>
      <c r="E8" s="7" t="s">
        <v>103</v>
      </c>
      <c r="F8" s="7" t="s">
        <v>49</v>
      </c>
      <c r="G8" s="9" t="str">
        <f aca="false">INDEX(Bloques!$B$2:$B$20,MATCH($F8,Bloques!$A$2:$A$20,0))</f>
        <v>Tempo</v>
      </c>
      <c r="H8" s="7" t="n">
        <v>4</v>
      </c>
      <c r="I8" s="8" t="n">
        <f aca="false">I7+H7</f>
        <v>12</v>
      </c>
      <c r="J8" s="9" t="str">
        <f aca="false">INDEX(Bloques!$C$2:$C$20,MATCH($F8,Bloques!$A$2:$A$20,0))</f>
        <v>Sentado</v>
      </c>
      <c r="K8" s="9" t="str">
        <f aca="false">INDEX(Bloques!$D$2:$D$20,MATCH($F8,Bloques!$A$2:$A$20,0))&amp;"–"&amp;INDEX(Bloques!$E$2:$E$20,MATCH($F8,Bloques!$A$2:$A$20,0))</f>
        <v>5–6</v>
      </c>
      <c r="L8" s="9" t="str">
        <f aca="false">INDEX(Bloques!$F$2:$F$20,MATCH($F8,Bloques!$A$2:$A$20,0))&amp;"–"&amp;INDEX(Bloques!$G$2:$G$20,MATCH($F8,Bloques!$A$2:$A$20,0))</f>
        <v>90–100</v>
      </c>
      <c r="M8" s="9" t="str">
        <f aca="false">INDEX(Bloques!$J$2:$J$20,MATCH($F8,Bloques!$A$2:$A$20,0))&amp;"–"&amp;INDEX(Bloques!$K$2:$K$20,MATCH($F8,Bloques!$A$2:$A$20,0))</f>
        <v>90–100</v>
      </c>
      <c r="N8" s="7"/>
    </row>
    <row r="9" customFormat="false" ht="15" hidden="false" customHeight="false" outlineLevel="0" collapsed="false">
      <c r="A9" s="8" t="str">
        <f aca="false">B9&amp;" "&amp;C9&amp;"′"</f>
        <v>Continuo 30′</v>
      </c>
      <c r="B9" s="7" t="s">
        <v>8</v>
      </c>
      <c r="C9" s="7" t="n">
        <v>30</v>
      </c>
      <c r="D9" s="7" t="n">
        <v>4</v>
      </c>
      <c r="E9" s="7" t="s">
        <v>104</v>
      </c>
      <c r="F9" s="7" t="s">
        <v>45</v>
      </c>
      <c r="G9" s="9" t="str">
        <f aca="false">INDEX(Bloques!$B$2:$B$20,MATCH($F9,Bloques!$A$2:$A$20,0))</f>
        <v>Llano</v>
      </c>
      <c r="H9" s="7" t="n">
        <v>5</v>
      </c>
      <c r="I9" s="8" t="n">
        <f aca="false">I8+H8</f>
        <v>16</v>
      </c>
      <c r="J9" s="9" t="str">
        <f aca="false">INDEX(Bloques!$C$2:$C$20,MATCH($F9,Bloques!$A$2:$A$20,0))</f>
        <v>Sentado</v>
      </c>
      <c r="K9" s="9" t="str">
        <f aca="false">INDEX(Bloques!$D$2:$D$20,MATCH($F9,Bloques!$A$2:$A$20,0))&amp;"–"&amp;INDEX(Bloques!$E$2:$E$20,MATCH($F9,Bloques!$A$2:$A$20,0))</f>
        <v>3–4</v>
      </c>
      <c r="L9" s="9" t="str">
        <f aca="false">INDEX(Bloques!$F$2:$F$20,MATCH($F9,Bloques!$A$2:$A$20,0))&amp;"–"&amp;INDEX(Bloques!$G$2:$G$20,MATCH($F9,Bloques!$A$2:$A$20,0))</f>
        <v>90–100</v>
      </c>
      <c r="M9" s="9" t="str">
        <f aca="false">INDEX(Bloques!$J$2:$J$20,MATCH($F9,Bloques!$A$2:$A$20,0))&amp;"–"&amp;INDEX(Bloques!$K$2:$K$20,MATCH($F9,Bloques!$A$2:$A$20,0))</f>
        <v>90–100</v>
      </c>
      <c r="N9" s="7"/>
    </row>
    <row r="10" customFormat="false" ht="15" hidden="false" customHeight="false" outlineLevel="0" collapsed="false">
      <c r="A10" s="8" t="str">
        <f aca="false">B10&amp;" "&amp;C10&amp;"′"</f>
        <v>Continuo 30′</v>
      </c>
      <c r="B10" s="7" t="s">
        <v>8</v>
      </c>
      <c r="C10" s="7" t="n">
        <v>30</v>
      </c>
      <c r="D10" s="7" t="n">
        <v>5</v>
      </c>
      <c r="E10" s="7" t="s">
        <v>104</v>
      </c>
      <c r="F10" s="7" t="s">
        <v>53</v>
      </c>
      <c r="G10" s="9" t="str">
        <f aca="false">INDEX(Bloques!$B$2:$B$20,MATCH($F10,Bloques!$A$2:$A$20,0))</f>
        <v>Subida suave</v>
      </c>
      <c r="H10" s="7" t="n">
        <v>4</v>
      </c>
      <c r="I10" s="8" t="n">
        <f aca="false">I9+H9</f>
        <v>21</v>
      </c>
      <c r="J10" s="9" t="str">
        <f aca="false">INDEX(Bloques!$C$2:$C$20,MATCH($F10,Bloques!$A$2:$A$20,0))</f>
        <v>Sentado</v>
      </c>
      <c r="K10" s="9" t="str">
        <f aca="false">INDEX(Bloques!$D$2:$D$20,MATCH($F10,Bloques!$A$2:$A$20,0))&amp;"–"&amp;INDEX(Bloques!$E$2:$E$20,MATCH($F10,Bloques!$A$2:$A$20,0))</f>
        <v>5–6</v>
      </c>
      <c r="L10" s="9" t="str">
        <f aca="false">INDEX(Bloques!$F$2:$F$20,MATCH($F10,Bloques!$A$2:$A$20,0))&amp;"–"&amp;INDEX(Bloques!$G$2:$G$20,MATCH($F10,Bloques!$A$2:$A$20,0))</f>
        <v>75–85</v>
      </c>
      <c r="M10" s="9" t="str">
        <f aca="false">INDEX(Bloques!$J$2:$J$20,MATCH($F10,Bloques!$A$2:$A$20,0))&amp;"–"&amp;INDEX(Bloques!$K$2:$K$20,MATCH($F10,Bloques!$A$2:$A$20,0))</f>
        <v>150–170</v>
      </c>
      <c r="N10" s="7"/>
    </row>
    <row r="11" customFormat="false" ht="15" hidden="false" customHeight="false" outlineLevel="0" collapsed="false">
      <c r="A11" s="8" t="str">
        <f aca="false">B11&amp;" "&amp;C11&amp;"′"</f>
        <v>Continuo 30′</v>
      </c>
      <c r="B11" s="7" t="s">
        <v>8</v>
      </c>
      <c r="C11" s="7" t="n">
        <v>30</v>
      </c>
      <c r="D11" s="7" t="n">
        <v>6</v>
      </c>
      <c r="E11" s="7" t="s">
        <v>102</v>
      </c>
      <c r="F11" s="7" t="s">
        <v>85</v>
      </c>
      <c r="G11" s="9" t="str">
        <f aca="false">INDEX(Bloques!$B$2:$B$20,MATCH($F11,Bloques!$A$2:$A$20,0))</f>
        <v>Vuelta a la calma</v>
      </c>
      <c r="H11" s="7" t="n">
        <v>5</v>
      </c>
      <c r="I11" s="8" t="n">
        <f aca="false">I10+H10</f>
        <v>25</v>
      </c>
      <c r="J11" s="9" t="str">
        <f aca="false">INDEX(Bloques!$C$2:$C$20,MATCH($F11,Bloques!$A$2:$A$20,0))</f>
        <v>Sentado</v>
      </c>
      <c r="K11" s="9" t="str">
        <f aca="false">INDEX(Bloques!$D$2:$D$20,MATCH($F11,Bloques!$A$2:$A$20,0))&amp;"–"&amp;INDEX(Bloques!$E$2:$E$20,MATCH($F11,Bloques!$A$2:$A$20,0))</f>
        <v>1–2</v>
      </c>
      <c r="L11" s="9" t="str">
        <f aca="false">INDEX(Bloques!$F$2:$F$20,MATCH($F11,Bloques!$A$2:$A$20,0))&amp;"–"&amp;INDEX(Bloques!$G$2:$G$20,MATCH($F11,Bloques!$A$2:$A$20,0))</f>
        <v>70–90</v>
      </c>
      <c r="M11" s="9" t="str">
        <f aca="false">INDEX(Bloques!$J$2:$J$20,MATCH($F11,Bloques!$A$2:$A$20,0))&amp;"–"&amp;INDEX(Bloques!$K$2:$K$20,MATCH($F11,Bloques!$A$2:$A$20,0))</f>
        <v>70–90</v>
      </c>
      <c r="N11" s="7"/>
    </row>
    <row r="12" customFormat="false" ht="15" hidden="false" customHeight="false" outlineLevel="0" collapsed="false">
      <c r="A12" s="8" t="str">
        <f aca="false">B12&amp;" "&amp;C12&amp;"′"</f>
        <v>Continuo 45′</v>
      </c>
      <c r="B12" s="7" t="s">
        <v>8</v>
      </c>
      <c r="C12" s="7" t="n">
        <v>45</v>
      </c>
      <c r="D12" s="7" t="n">
        <v>1</v>
      </c>
      <c r="E12" s="7" t="s">
        <v>40</v>
      </c>
      <c r="F12" s="7" t="s">
        <v>39</v>
      </c>
      <c r="G12" s="9" t="str">
        <f aca="false">INDEX(Bloques!$B$2:$B$20,MATCH($F12,Bloques!$A$2:$A$20,0))</f>
        <v>Calentamiento</v>
      </c>
      <c r="H12" s="7" t="n">
        <v>8</v>
      </c>
      <c r="I12" s="8" t="n">
        <v>0</v>
      </c>
      <c r="J12" s="9" t="str">
        <f aca="false">INDEX(Bloques!$C$2:$C$20,MATCH($F12,Bloques!$A$2:$A$20,0))</f>
        <v>Sentado</v>
      </c>
      <c r="K12" s="9" t="str">
        <f aca="false">INDEX(Bloques!$D$2:$D$20,MATCH($F12,Bloques!$A$2:$A$20,0))&amp;"–"&amp;INDEX(Bloques!$E$2:$E$20,MATCH($F12,Bloques!$A$2:$A$20,0))</f>
        <v>2–3</v>
      </c>
      <c r="L12" s="9" t="str">
        <f aca="false">INDEX(Bloques!$F$2:$F$20,MATCH($F12,Bloques!$A$2:$A$20,0))&amp;"–"&amp;INDEX(Bloques!$G$2:$G$20,MATCH($F12,Bloques!$A$2:$A$20,0))</f>
        <v>85–95</v>
      </c>
      <c r="M12" s="9" t="str">
        <f aca="false">INDEX(Bloques!$J$2:$J$20,MATCH($F12,Bloques!$A$2:$A$20,0))&amp;"–"&amp;INDEX(Bloques!$K$2:$K$20,MATCH($F12,Bloques!$A$2:$A$20,0))</f>
        <v>85–95</v>
      </c>
      <c r="N12" s="7"/>
    </row>
    <row r="13" customFormat="false" ht="15" hidden="false" customHeight="false" outlineLevel="0" collapsed="false">
      <c r="A13" s="8" t="str">
        <f aca="false">B13&amp;" "&amp;C13&amp;"′"</f>
        <v>Continuo 45′</v>
      </c>
      <c r="B13" s="7" t="s">
        <v>8</v>
      </c>
      <c r="C13" s="7" t="n">
        <v>45</v>
      </c>
      <c r="D13" s="7" t="n">
        <v>2</v>
      </c>
      <c r="E13" s="7" t="s">
        <v>103</v>
      </c>
      <c r="F13" s="7" t="s">
        <v>45</v>
      </c>
      <c r="G13" s="9" t="str">
        <f aca="false">INDEX(Bloques!$B$2:$B$20,MATCH($F13,Bloques!$A$2:$A$20,0))</f>
        <v>Llano</v>
      </c>
      <c r="H13" s="7" t="n">
        <v>7</v>
      </c>
      <c r="I13" s="8" t="n">
        <f aca="false">I12+H12</f>
        <v>8</v>
      </c>
      <c r="J13" s="9" t="str">
        <f aca="false">INDEX(Bloques!$C$2:$C$20,MATCH($F13,Bloques!$A$2:$A$20,0))</f>
        <v>Sentado</v>
      </c>
      <c r="K13" s="9" t="str">
        <f aca="false">INDEX(Bloques!$D$2:$D$20,MATCH($F13,Bloques!$A$2:$A$20,0))&amp;"–"&amp;INDEX(Bloques!$E$2:$E$20,MATCH($F13,Bloques!$A$2:$A$20,0))</f>
        <v>3–4</v>
      </c>
      <c r="L13" s="9" t="str">
        <f aca="false">INDEX(Bloques!$F$2:$F$20,MATCH($F13,Bloques!$A$2:$A$20,0))&amp;"–"&amp;INDEX(Bloques!$G$2:$G$20,MATCH($F13,Bloques!$A$2:$A$20,0))</f>
        <v>90–100</v>
      </c>
      <c r="M13" s="9" t="str">
        <f aca="false">INDEX(Bloques!$J$2:$J$20,MATCH($F13,Bloques!$A$2:$A$20,0))&amp;"–"&amp;INDEX(Bloques!$K$2:$K$20,MATCH($F13,Bloques!$A$2:$A$20,0))</f>
        <v>90–100</v>
      </c>
      <c r="N13" s="7"/>
    </row>
    <row r="14" customFormat="false" ht="15" hidden="false" customHeight="false" outlineLevel="0" collapsed="false">
      <c r="A14" s="8" t="str">
        <f aca="false">B14&amp;" "&amp;C14&amp;"′"</f>
        <v>Continuo 45′</v>
      </c>
      <c r="B14" s="7" t="s">
        <v>8</v>
      </c>
      <c r="C14" s="7" t="n">
        <v>45</v>
      </c>
      <c r="D14" s="7" t="n">
        <v>3</v>
      </c>
      <c r="E14" s="7" t="s">
        <v>103</v>
      </c>
      <c r="F14" s="7" t="s">
        <v>49</v>
      </c>
      <c r="G14" s="9" t="str">
        <f aca="false">INDEX(Bloques!$B$2:$B$20,MATCH($F14,Bloques!$A$2:$A$20,0))</f>
        <v>Tempo</v>
      </c>
      <c r="H14" s="7" t="n">
        <v>5</v>
      </c>
      <c r="I14" s="8" t="n">
        <f aca="false">I13+H13</f>
        <v>15</v>
      </c>
      <c r="J14" s="9" t="str">
        <f aca="false">INDEX(Bloques!$C$2:$C$20,MATCH($F14,Bloques!$A$2:$A$20,0))</f>
        <v>Sentado</v>
      </c>
      <c r="K14" s="9" t="str">
        <f aca="false">INDEX(Bloques!$D$2:$D$20,MATCH($F14,Bloques!$A$2:$A$20,0))&amp;"–"&amp;INDEX(Bloques!$E$2:$E$20,MATCH($F14,Bloques!$A$2:$A$20,0))</f>
        <v>5–6</v>
      </c>
      <c r="L14" s="9" t="str">
        <f aca="false">INDEX(Bloques!$F$2:$F$20,MATCH($F14,Bloques!$A$2:$A$20,0))&amp;"–"&amp;INDEX(Bloques!$G$2:$G$20,MATCH($F14,Bloques!$A$2:$A$20,0))</f>
        <v>90–100</v>
      </c>
      <c r="M14" s="9" t="str">
        <f aca="false">INDEX(Bloques!$J$2:$J$20,MATCH($F14,Bloques!$A$2:$A$20,0))&amp;"–"&amp;INDEX(Bloques!$K$2:$K$20,MATCH($F14,Bloques!$A$2:$A$20,0))</f>
        <v>90–100</v>
      </c>
      <c r="N14" s="7"/>
    </row>
    <row r="15" customFormat="false" ht="15" hidden="false" customHeight="false" outlineLevel="0" collapsed="false">
      <c r="A15" s="8" t="str">
        <f aca="false">B15&amp;" "&amp;C15&amp;"′"</f>
        <v>Continuo 45′</v>
      </c>
      <c r="B15" s="7" t="s">
        <v>8</v>
      </c>
      <c r="C15" s="7" t="n">
        <v>45</v>
      </c>
      <c r="D15" s="7" t="n">
        <v>4</v>
      </c>
      <c r="E15" s="7" t="s">
        <v>104</v>
      </c>
      <c r="F15" s="7" t="s">
        <v>45</v>
      </c>
      <c r="G15" s="9" t="str">
        <f aca="false">INDEX(Bloques!$B$2:$B$20,MATCH($F15,Bloques!$A$2:$A$20,0))</f>
        <v>Llano</v>
      </c>
      <c r="H15" s="7" t="n">
        <v>6</v>
      </c>
      <c r="I15" s="8" t="n">
        <f aca="false">I14+H14</f>
        <v>20</v>
      </c>
      <c r="J15" s="9" t="str">
        <f aca="false">INDEX(Bloques!$C$2:$C$20,MATCH($F15,Bloques!$A$2:$A$20,0))</f>
        <v>Sentado</v>
      </c>
      <c r="K15" s="9" t="str">
        <f aca="false">INDEX(Bloques!$D$2:$D$20,MATCH($F15,Bloques!$A$2:$A$20,0))&amp;"–"&amp;INDEX(Bloques!$E$2:$E$20,MATCH($F15,Bloques!$A$2:$A$20,0))</f>
        <v>3–4</v>
      </c>
      <c r="L15" s="9" t="str">
        <f aca="false">INDEX(Bloques!$F$2:$F$20,MATCH($F15,Bloques!$A$2:$A$20,0))&amp;"–"&amp;INDEX(Bloques!$G$2:$G$20,MATCH($F15,Bloques!$A$2:$A$20,0))</f>
        <v>90–100</v>
      </c>
      <c r="M15" s="9" t="str">
        <f aca="false">INDEX(Bloques!$J$2:$J$20,MATCH($F15,Bloques!$A$2:$A$20,0))&amp;"–"&amp;INDEX(Bloques!$K$2:$K$20,MATCH($F15,Bloques!$A$2:$A$20,0))</f>
        <v>90–100</v>
      </c>
      <c r="N15" s="7"/>
    </row>
    <row r="16" customFormat="false" ht="15" hidden="false" customHeight="false" outlineLevel="0" collapsed="false">
      <c r="A16" s="8" t="str">
        <f aca="false">B16&amp;" "&amp;C16&amp;"′"</f>
        <v>Continuo 45′</v>
      </c>
      <c r="B16" s="7" t="s">
        <v>8</v>
      </c>
      <c r="C16" s="7" t="n">
        <v>45</v>
      </c>
      <c r="D16" s="7" t="n">
        <v>5</v>
      </c>
      <c r="E16" s="7" t="s">
        <v>104</v>
      </c>
      <c r="F16" s="7" t="s">
        <v>53</v>
      </c>
      <c r="G16" s="9" t="str">
        <f aca="false">INDEX(Bloques!$B$2:$B$20,MATCH($F16,Bloques!$A$2:$A$20,0))</f>
        <v>Subida suave</v>
      </c>
      <c r="H16" s="7" t="n">
        <v>5</v>
      </c>
      <c r="I16" s="8" t="n">
        <f aca="false">I15+H15</f>
        <v>26</v>
      </c>
      <c r="J16" s="9" t="str">
        <f aca="false">INDEX(Bloques!$C$2:$C$20,MATCH($F16,Bloques!$A$2:$A$20,0))</f>
        <v>Sentado</v>
      </c>
      <c r="K16" s="9" t="str">
        <f aca="false">INDEX(Bloques!$D$2:$D$20,MATCH($F16,Bloques!$A$2:$A$20,0))&amp;"–"&amp;INDEX(Bloques!$E$2:$E$20,MATCH($F16,Bloques!$A$2:$A$20,0))</f>
        <v>5–6</v>
      </c>
      <c r="L16" s="9" t="str">
        <f aca="false">INDEX(Bloques!$F$2:$F$20,MATCH($F16,Bloques!$A$2:$A$20,0))&amp;"–"&amp;INDEX(Bloques!$G$2:$G$20,MATCH($F16,Bloques!$A$2:$A$20,0))</f>
        <v>75–85</v>
      </c>
      <c r="M16" s="9" t="str">
        <f aca="false">INDEX(Bloques!$J$2:$J$20,MATCH($F16,Bloques!$A$2:$A$20,0))&amp;"–"&amp;INDEX(Bloques!$K$2:$K$20,MATCH($F16,Bloques!$A$2:$A$20,0))</f>
        <v>150–170</v>
      </c>
      <c r="N16" s="7"/>
    </row>
    <row r="17" customFormat="false" ht="15" hidden="false" customHeight="false" outlineLevel="0" collapsed="false">
      <c r="A17" s="8" t="str">
        <f aca="false">B17&amp;" "&amp;C17&amp;"′"</f>
        <v>Continuo 45′</v>
      </c>
      <c r="B17" s="7" t="s">
        <v>8</v>
      </c>
      <c r="C17" s="7" t="n">
        <v>45</v>
      </c>
      <c r="D17" s="7" t="n">
        <v>6</v>
      </c>
      <c r="E17" s="7" t="s">
        <v>105</v>
      </c>
      <c r="F17" s="7" t="s">
        <v>45</v>
      </c>
      <c r="G17" s="9" t="str">
        <f aca="false">INDEX(Bloques!$B$2:$B$20,MATCH($F17,Bloques!$A$2:$A$20,0))</f>
        <v>Llano</v>
      </c>
      <c r="H17" s="7" t="n">
        <v>5</v>
      </c>
      <c r="I17" s="8" t="n">
        <f aca="false">I16+H16</f>
        <v>31</v>
      </c>
      <c r="J17" s="9" t="str">
        <f aca="false">INDEX(Bloques!$C$2:$C$20,MATCH($F17,Bloques!$A$2:$A$20,0))</f>
        <v>Sentado</v>
      </c>
      <c r="K17" s="9" t="str">
        <f aca="false">INDEX(Bloques!$D$2:$D$20,MATCH($F17,Bloques!$A$2:$A$20,0))&amp;"–"&amp;INDEX(Bloques!$E$2:$E$20,MATCH($F17,Bloques!$A$2:$A$20,0))</f>
        <v>3–4</v>
      </c>
      <c r="L17" s="9" t="str">
        <f aca="false">INDEX(Bloques!$F$2:$F$20,MATCH($F17,Bloques!$A$2:$A$20,0))&amp;"–"&amp;INDEX(Bloques!$G$2:$G$20,MATCH($F17,Bloques!$A$2:$A$20,0))</f>
        <v>90–100</v>
      </c>
      <c r="M17" s="9" t="str">
        <f aca="false">INDEX(Bloques!$J$2:$J$20,MATCH($F17,Bloques!$A$2:$A$20,0))&amp;"–"&amp;INDEX(Bloques!$K$2:$K$20,MATCH($F17,Bloques!$A$2:$A$20,0))</f>
        <v>90–100</v>
      </c>
      <c r="N17" s="7"/>
    </row>
    <row r="18" customFormat="false" ht="15" hidden="false" customHeight="false" outlineLevel="0" collapsed="false">
      <c r="A18" s="8" t="str">
        <f aca="false">B18&amp;" "&amp;C18&amp;"′"</f>
        <v>Continuo 45′</v>
      </c>
      <c r="B18" s="7" t="s">
        <v>8</v>
      </c>
      <c r="C18" s="7" t="n">
        <v>45</v>
      </c>
      <c r="D18" s="7" t="n">
        <v>7</v>
      </c>
      <c r="E18" s="7" t="s">
        <v>105</v>
      </c>
      <c r="F18" s="7" t="s">
        <v>49</v>
      </c>
      <c r="G18" s="9" t="str">
        <f aca="false">INDEX(Bloques!$B$2:$B$20,MATCH($F18,Bloques!$A$2:$A$20,0))</f>
        <v>Tempo</v>
      </c>
      <c r="H18" s="7" t="n">
        <v>4</v>
      </c>
      <c r="I18" s="8" t="n">
        <f aca="false">I17+H17</f>
        <v>36</v>
      </c>
      <c r="J18" s="9" t="str">
        <f aca="false">INDEX(Bloques!$C$2:$C$20,MATCH($F18,Bloques!$A$2:$A$20,0))</f>
        <v>Sentado</v>
      </c>
      <c r="K18" s="9" t="str">
        <f aca="false">INDEX(Bloques!$D$2:$D$20,MATCH($F18,Bloques!$A$2:$A$20,0))&amp;"–"&amp;INDEX(Bloques!$E$2:$E$20,MATCH($F18,Bloques!$A$2:$A$20,0))</f>
        <v>5–6</v>
      </c>
      <c r="L18" s="9" t="str">
        <f aca="false">INDEX(Bloques!$F$2:$F$20,MATCH($F18,Bloques!$A$2:$A$20,0))&amp;"–"&amp;INDEX(Bloques!$G$2:$G$20,MATCH($F18,Bloques!$A$2:$A$20,0))</f>
        <v>90–100</v>
      </c>
      <c r="M18" s="9" t="str">
        <f aca="false">INDEX(Bloques!$J$2:$J$20,MATCH($F18,Bloques!$A$2:$A$20,0))&amp;"–"&amp;INDEX(Bloques!$K$2:$K$20,MATCH($F18,Bloques!$A$2:$A$20,0))</f>
        <v>90–100</v>
      </c>
      <c r="N18" s="7"/>
    </row>
    <row r="19" customFormat="false" ht="15" hidden="false" customHeight="false" outlineLevel="0" collapsed="false">
      <c r="A19" s="8" t="str">
        <f aca="false">B19&amp;" "&amp;C19&amp;"′"</f>
        <v>Continuo 45′</v>
      </c>
      <c r="B19" s="7" t="s">
        <v>8</v>
      </c>
      <c r="C19" s="7" t="n">
        <v>45</v>
      </c>
      <c r="D19" s="7" t="n">
        <v>8</v>
      </c>
      <c r="E19" s="7" t="s">
        <v>102</v>
      </c>
      <c r="F19" s="7" t="s">
        <v>85</v>
      </c>
      <c r="G19" s="9" t="str">
        <f aca="false">INDEX(Bloques!$B$2:$B$20,MATCH($F19,Bloques!$A$2:$A$20,0))</f>
        <v>Vuelta a la calma</v>
      </c>
      <c r="H19" s="7" t="n">
        <v>5</v>
      </c>
      <c r="I19" s="8" t="n">
        <f aca="false">I18+H18</f>
        <v>40</v>
      </c>
      <c r="J19" s="9" t="str">
        <f aca="false">INDEX(Bloques!$C$2:$C$20,MATCH($F19,Bloques!$A$2:$A$20,0))</f>
        <v>Sentado</v>
      </c>
      <c r="K19" s="9" t="str">
        <f aca="false">INDEX(Bloques!$D$2:$D$20,MATCH($F19,Bloques!$A$2:$A$20,0))&amp;"–"&amp;INDEX(Bloques!$E$2:$E$20,MATCH($F19,Bloques!$A$2:$A$20,0))</f>
        <v>1–2</v>
      </c>
      <c r="L19" s="9" t="str">
        <f aca="false">INDEX(Bloques!$F$2:$F$20,MATCH($F19,Bloques!$A$2:$A$20,0))&amp;"–"&amp;INDEX(Bloques!$G$2:$G$20,MATCH($F19,Bloques!$A$2:$A$20,0))</f>
        <v>70–90</v>
      </c>
      <c r="M19" s="9" t="str">
        <f aca="false">INDEX(Bloques!$J$2:$J$20,MATCH($F19,Bloques!$A$2:$A$20,0))&amp;"–"&amp;INDEX(Bloques!$K$2:$K$20,MATCH($F19,Bloques!$A$2:$A$20,0))</f>
        <v>70–90</v>
      </c>
      <c r="N19" s="7"/>
    </row>
    <row r="20" customFormat="false" ht="15" hidden="false" customHeight="false" outlineLevel="0" collapsed="false">
      <c r="A20" s="8" t="str">
        <f aca="false">B20&amp;" "&amp;C20&amp;"′"</f>
        <v>Continuo 60′</v>
      </c>
      <c r="B20" s="7" t="s">
        <v>8</v>
      </c>
      <c r="C20" s="7" t="n">
        <v>60</v>
      </c>
      <c r="D20" s="7" t="n">
        <v>1</v>
      </c>
      <c r="E20" s="7" t="s">
        <v>40</v>
      </c>
      <c r="F20" s="7" t="s">
        <v>39</v>
      </c>
      <c r="G20" s="9" t="str">
        <f aca="false">INDEX(Bloques!$B$2:$B$20,MATCH($F20,Bloques!$A$2:$A$20,0))</f>
        <v>Calentamiento</v>
      </c>
      <c r="H20" s="7" t="n">
        <v>8</v>
      </c>
      <c r="I20" s="8" t="n">
        <v>0</v>
      </c>
      <c r="J20" s="9" t="str">
        <f aca="false">INDEX(Bloques!$C$2:$C$20,MATCH($F20,Bloques!$A$2:$A$20,0))</f>
        <v>Sentado</v>
      </c>
      <c r="K20" s="9" t="str">
        <f aca="false">INDEX(Bloques!$D$2:$D$20,MATCH($F20,Bloques!$A$2:$A$20,0))&amp;"–"&amp;INDEX(Bloques!$E$2:$E$20,MATCH($F20,Bloques!$A$2:$A$20,0))</f>
        <v>2–3</v>
      </c>
      <c r="L20" s="9" t="str">
        <f aca="false">INDEX(Bloques!$F$2:$F$20,MATCH($F20,Bloques!$A$2:$A$20,0))&amp;"–"&amp;INDEX(Bloques!$G$2:$G$20,MATCH($F20,Bloques!$A$2:$A$20,0))</f>
        <v>85–95</v>
      </c>
      <c r="M20" s="9" t="str">
        <f aca="false">INDEX(Bloques!$J$2:$J$20,MATCH($F20,Bloques!$A$2:$A$20,0))&amp;"–"&amp;INDEX(Bloques!$K$2:$K$20,MATCH($F20,Bloques!$A$2:$A$20,0))</f>
        <v>85–95</v>
      </c>
      <c r="N20" s="7"/>
    </row>
    <row r="21" customFormat="false" ht="15" hidden="false" customHeight="false" outlineLevel="0" collapsed="false">
      <c r="A21" s="8" t="str">
        <f aca="false">B21&amp;" "&amp;C21&amp;"′"</f>
        <v>Continuo 60′</v>
      </c>
      <c r="B21" s="7" t="s">
        <v>8</v>
      </c>
      <c r="C21" s="7" t="n">
        <v>60</v>
      </c>
      <c r="D21" s="7" t="n">
        <v>2</v>
      </c>
      <c r="E21" s="7" t="s">
        <v>103</v>
      </c>
      <c r="F21" s="7" t="s">
        <v>45</v>
      </c>
      <c r="G21" s="9" t="str">
        <f aca="false">INDEX(Bloques!$B$2:$B$20,MATCH($F21,Bloques!$A$2:$A$20,0))</f>
        <v>Llano</v>
      </c>
      <c r="H21" s="7" t="n">
        <v>8</v>
      </c>
      <c r="I21" s="8" t="n">
        <f aca="false">I20+H20</f>
        <v>8</v>
      </c>
      <c r="J21" s="9" t="str">
        <f aca="false">INDEX(Bloques!$C$2:$C$20,MATCH($F21,Bloques!$A$2:$A$20,0))</f>
        <v>Sentado</v>
      </c>
      <c r="K21" s="9" t="str">
        <f aca="false">INDEX(Bloques!$D$2:$D$20,MATCH($F21,Bloques!$A$2:$A$20,0))&amp;"–"&amp;INDEX(Bloques!$E$2:$E$20,MATCH($F21,Bloques!$A$2:$A$20,0))</f>
        <v>3–4</v>
      </c>
      <c r="L21" s="9" t="str">
        <f aca="false">INDEX(Bloques!$F$2:$F$20,MATCH($F21,Bloques!$A$2:$A$20,0))&amp;"–"&amp;INDEX(Bloques!$G$2:$G$20,MATCH($F21,Bloques!$A$2:$A$20,0))</f>
        <v>90–100</v>
      </c>
      <c r="M21" s="9" t="str">
        <f aca="false">INDEX(Bloques!$J$2:$J$20,MATCH($F21,Bloques!$A$2:$A$20,0))&amp;"–"&amp;INDEX(Bloques!$K$2:$K$20,MATCH($F21,Bloques!$A$2:$A$20,0))</f>
        <v>90–100</v>
      </c>
      <c r="N21" s="7"/>
    </row>
    <row r="22" customFormat="false" ht="15" hidden="false" customHeight="false" outlineLevel="0" collapsed="false">
      <c r="A22" s="8" t="str">
        <f aca="false">B22&amp;" "&amp;C22&amp;"′"</f>
        <v>Continuo 60′</v>
      </c>
      <c r="B22" s="7" t="s">
        <v>8</v>
      </c>
      <c r="C22" s="7" t="n">
        <v>60</v>
      </c>
      <c r="D22" s="7" t="n">
        <v>3</v>
      </c>
      <c r="E22" s="7" t="s">
        <v>103</v>
      </c>
      <c r="F22" s="7" t="s">
        <v>49</v>
      </c>
      <c r="G22" s="9" t="str">
        <f aca="false">INDEX(Bloques!$B$2:$B$20,MATCH($F22,Bloques!$A$2:$A$20,0))</f>
        <v>Tempo</v>
      </c>
      <c r="H22" s="7" t="n">
        <v>6</v>
      </c>
      <c r="I22" s="8" t="n">
        <f aca="false">I21+H21</f>
        <v>16</v>
      </c>
      <c r="J22" s="9" t="str">
        <f aca="false">INDEX(Bloques!$C$2:$C$20,MATCH($F22,Bloques!$A$2:$A$20,0))</f>
        <v>Sentado</v>
      </c>
      <c r="K22" s="9" t="str">
        <f aca="false">INDEX(Bloques!$D$2:$D$20,MATCH($F22,Bloques!$A$2:$A$20,0))&amp;"–"&amp;INDEX(Bloques!$E$2:$E$20,MATCH($F22,Bloques!$A$2:$A$20,0))</f>
        <v>5–6</v>
      </c>
      <c r="L22" s="9" t="str">
        <f aca="false">INDEX(Bloques!$F$2:$F$20,MATCH($F22,Bloques!$A$2:$A$20,0))&amp;"–"&amp;INDEX(Bloques!$G$2:$G$20,MATCH($F22,Bloques!$A$2:$A$20,0))</f>
        <v>90–100</v>
      </c>
      <c r="M22" s="9" t="str">
        <f aca="false">INDEX(Bloques!$J$2:$J$20,MATCH($F22,Bloques!$A$2:$A$20,0))&amp;"–"&amp;INDEX(Bloques!$K$2:$K$20,MATCH($F22,Bloques!$A$2:$A$20,0))</f>
        <v>90–100</v>
      </c>
      <c r="N22" s="7"/>
    </row>
    <row r="23" customFormat="false" ht="15" hidden="false" customHeight="false" outlineLevel="0" collapsed="false">
      <c r="A23" s="8" t="str">
        <f aca="false">B23&amp;" "&amp;C23&amp;"′"</f>
        <v>Continuo 60′</v>
      </c>
      <c r="B23" s="7" t="s">
        <v>8</v>
      </c>
      <c r="C23" s="7" t="n">
        <v>60</v>
      </c>
      <c r="D23" s="7" t="n">
        <v>4</v>
      </c>
      <c r="E23" s="7" t="s">
        <v>104</v>
      </c>
      <c r="F23" s="7" t="s">
        <v>45</v>
      </c>
      <c r="G23" s="9" t="str">
        <f aca="false">INDEX(Bloques!$B$2:$B$20,MATCH($F23,Bloques!$A$2:$A$20,0))</f>
        <v>Llano</v>
      </c>
      <c r="H23" s="7" t="n">
        <v>8</v>
      </c>
      <c r="I23" s="8" t="n">
        <f aca="false">I22+H22</f>
        <v>22</v>
      </c>
      <c r="J23" s="9" t="str">
        <f aca="false">INDEX(Bloques!$C$2:$C$20,MATCH($F23,Bloques!$A$2:$A$20,0))</f>
        <v>Sentado</v>
      </c>
      <c r="K23" s="9" t="str">
        <f aca="false">INDEX(Bloques!$D$2:$D$20,MATCH($F23,Bloques!$A$2:$A$20,0))&amp;"–"&amp;INDEX(Bloques!$E$2:$E$20,MATCH($F23,Bloques!$A$2:$A$20,0))</f>
        <v>3–4</v>
      </c>
      <c r="L23" s="9" t="str">
        <f aca="false">INDEX(Bloques!$F$2:$F$20,MATCH($F23,Bloques!$A$2:$A$20,0))&amp;"–"&amp;INDEX(Bloques!$G$2:$G$20,MATCH($F23,Bloques!$A$2:$A$20,0))</f>
        <v>90–100</v>
      </c>
      <c r="M23" s="9" t="str">
        <f aca="false">INDEX(Bloques!$J$2:$J$20,MATCH($F23,Bloques!$A$2:$A$20,0))&amp;"–"&amp;INDEX(Bloques!$K$2:$K$20,MATCH($F23,Bloques!$A$2:$A$20,0))</f>
        <v>90–100</v>
      </c>
      <c r="N23" s="7"/>
    </row>
    <row r="24" customFormat="false" ht="15" hidden="false" customHeight="false" outlineLevel="0" collapsed="false">
      <c r="A24" s="8" t="str">
        <f aca="false">B24&amp;" "&amp;C24&amp;"′"</f>
        <v>Continuo 60′</v>
      </c>
      <c r="B24" s="7" t="s">
        <v>8</v>
      </c>
      <c r="C24" s="7" t="n">
        <v>60</v>
      </c>
      <c r="D24" s="7" t="n">
        <v>5</v>
      </c>
      <c r="E24" s="7" t="s">
        <v>104</v>
      </c>
      <c r="F24" s="7" t="s">
        <v>53</v>
      </c>
      <c r="G24" s="9" t="str">
        <f aca="false">INDEX(Bloques!$B$2:$B$20,MATCH($F24,Bloques!$A$2:$A$20,0))</f>
        <v>Subida suave</v>
      </c>
      <c r="H24" s="7" t="n">
        <v>6</v>
      </c>
      <c r="I24" s="8" t="n">
        <f aca="false">I23+H23</f>
        <v>30</v>
      </c>
      <c r="J24" s="9" t="str">
        <f aca="false">INDEX(Bloques!$C$2:$C$20,MATCH($F24,Bloques!$A$2:$A$20,0))</f>
        <v>Sentado</v>
      </c>
      <c r="K24" s="9" t="str">
        <f aca="false">INDEX(Bloques!$D$2:$D$20,MATCH($F24,Bloques!$A$2:$A$20,0))&amp;"–"&amp;INDEX(Bloques!$E$2:$E$20,MATCH($F24,Bloques!$A$2:$A$20,0))</f>
        <v>5–6</v>
      </c>
      <c r="L24" s="9" t="str">
        <f aca="false">INDEX(Bloques!$F$2:$F$20,MATCH($F24,Bloques!$A$2:$A$20,0))&amp;"–"&amp;INDEX(Bloques!$G$2:$G$20,MATCH($F24,Bloques!$A$2:$A$20,0))</f>
        <v>75–85</v>
      </c>
      <c r="M24" s="9" t="str">
        <f aca="false">INDEX(Bloques!$J$2:$J$20,MATCH($F24,Bloques!$A$2:$A$20,0))&amp;"–"&amp;INDEX(Bloques!$K$2:$K$20,MATCH($F24,Bloques!$A$2:$A$20,0))</f>
        <v>150–170</v>
      </c>
      <c r="N24" s="7" t="s">
        <v>106</v>
      </c>
    </row>
    <row r="25" customFormat="false" ht="15" hidden="false" customHeight="false" outlineLevel="0" collapsed="false">
      <c r="A25" s="8" t="str">
        <f aca="false">B25&amp;" "&amp;C25&amp;"′"</f>
        <v>Continuo 60′</v>
      </c>
      <c r="B25" s="7" t="s">
        <v>8</v>
      </c>
      <c r="C25" s="7" t="n">
        <v>60</v>
      </c>
      <c r="D25" s="7" t="n">
        <v>6</v>
      </c>
      <c r="E25" s="7" t="s">
        <v>105</v>
      </c>
      <c r="F25" s="7" t="s">
        <v>45</v>
      </c>
      <c r="G25" s="9" t="str">
        <f aca="false">INDEX(Bloques!$B$2:$B$20,MATCH($F25,Bloques!$A$2:$A$20,0))</f>
        <v>Llano</v>
      </c>
      <c r="H25" s="7" t="n">
        <v>8</v>
      </c>
      <c r="I25" s="8" t="n">
        <f aca="false">I24+H24</f>
        <v>36</v>
      </c>
      <c r="J25" s="9" t="str">
        <f aca="false">INDEX(Bloques!$C$2:$C$20,MATCH($F25,Bloques!$A$2:$A$20,0))</f>
        <v>Sentado</v>
      </c>
      <c r="K25" s="9" t="str">
        <f aca="false">INDEX(Bloques!$D$2:$D$20,MATCH($F25,Bloques!$A$2:$A$20,0))&amp;"–"&amp;INDEX(Bloques!$E$2:$E$20,MATCH($F25,Bloques!$A$2:$A$20,0))</f>
        <v>3–4</v>
      </c>
      <c r="L25" s="9" t="str">
        <f aca="false">INDEX(Bloques!$F$2:$F$20,MATCH($F25,Bloques!$A$2:$A$20,0))&amp;"–"&amp;INDEX(Bloques!$G$2:$G$20,MATCH($F25,Bloques!$A$2:$A$20,0))</f>
        <v>90–100</v>
      </c>
      <c r="M25" s="9" t="str">
        <f aca="false">INDEX(Bloques!$J$2:$J$20,MATCH($F25,Bloques!$A$2:$A$20,0))&amp;"–"&amp;INDEX(Bloques!$K$2:$K$20,MATCH($F25,Bloques!$A$2:$A$20,0))</f>
        <v>90–100</v>
      </c>
      <c r="N25" s="7"/>
    </row>
    <row r="26" customFormat="false" ht="15" hidden="false" customHeight="false" outlineLevel="0" collapsed="false">
      <c r="A26" s="8" t="str">
        <f aca="false">B26&amp;" "&amp;C26&amp;"′"</f>
        <v>Continuo 60′</v>
      </c>
      <c r="B26" s="7" t="s">
        <v>8</v>
      </c>
      <c r="C26" s="7" t="n">
        <v>60</v>
      </c>
      <c r="D26" s="7" t="n">
        <v>7</v>
      </c>
      <c r="E26" s="7" t="s">
        <v>105</v>
      </c>
      <c r="F26" s="7" t="s">
        <v>49</v>
      </c>
      <c r="G26" s="9" t="str">
        <f aca="false">INDEX(Bloques!$B$2:$B$20,MATCH($F26,Bloques!$A$2:$A$20,0))</f>
        <v>Tempo</v>
      </c>
      <c r="H26" s="7" t="n">
        <v>6</v>
      </c>
      <c r="I26" s="8" t="n">
        <f aca="false">I25+H25</f>
        <v>44</v>
      </c>
      <c r="J26" s="9" t="str">
        <f aca="false">INDEX(Bloques!$C$2:$C$20,MATCH($F26,Bloques!$A$2:$A$20,0))</f>
        <v>Sentado</v>
      </c>
      <c r="K26" s="9" t="str">
        <f aca="false">INDEX(Bloques!$D$2:$D$20,MATCH($F26,Bloques!$A$2:$A$20,0))&amp;"–"&amp;INDEX(Bloques!$E$2:$E$20,MATCH($F26,Bloques!$A$2:$A$20,0))</f>
        <v>5–6</v>
      </c>
      <c r="L26" s="9" t="str">
        <f aca="false">INDEX(Bloques!$F$2:$F$20,MATCH($F26,Bloques!$A$2:$A$20,0))&amp;"–"&amp;INDEX(Bloques!$G$2:$G$20,MATCH($F26,Bloques!$A$2:$A$20,0))</f>
        <v>90–100</v>
      </c>
      <c r="M26" s="9" t="str">
        <f aca="false">INDEX(Bloques!$J$2:$J$20,MATCH($F26,Bloques!$A$2:$A$20,0))&amp;"–"&amp;INDEX(Bloques!$K$2:$K$20,MATCH($F26,Bloques!$A$2:$A$20,0))</f>
        <v>90–100</v>
      </c>
      <c r="N26" s="7"/>
    </row>
    <row r="27" customFormat="false" ht="15" hidden="false" customHeight="false" outlineLevel="0" collapsed="false">
      <c r="A27" s="8" t="str">
        <f aca="false">B27&amp;" "&amp;C27&amp;"′"</f>
        <v>Continuo 60′</v>
      </c>
      <c r="B27" s="7" t="s">
        <v>8</v>
      </c>
      <c r="C27" s="7" t="n">
        <v>60</v>
      </c>
      <c r="D27" s="7" t="n">
        <v>8</v>
      </c>
      <c r="E27" s="7" t="s">
        <v>102</v>
      </c>
      <c r="F27" s="7" t="s">
        <v>85</v>
      </c>
      <c r="G27" s="9" t="str">
        <f aca="false">INDEX(Bloques!$B$2:$B$20,MATCH($F27,Bloques!$A$2:$A$20,0))</f>
        <v>Vuelta a la calma</v>
      </c>
      <c r="H27" s="7" t="n">
        <v>10</v>
      </c>
      <c r="I27" s="8" t="n">
        <f aca="false">I26+H26</f>
        <v>50</v>
      </c>
      <c r="J27" s="9" t="str">
        <f aca="false">INDEX(Bloques!$C$2:$C$20,MATCH($F27,Bloques!$A$2:$A$20,0))</f>
        <v>Sentado</v>
      </c>
      <c r="K27" s="9" t="str">
        <f aca="false">INDEX(Bloques!$D$2:$D$20,MATCH($F27,Bloques!$A$2:$A$20,0))&amp;"–"&amp;INDEX(Bloques!$E$2:$E$20,MATCH($F27,Bloques!$A$2:$A$20,0))</f>
        <v>1–2</v>
      </c>
      <c r="L27" s="9" t="str">
        <f aca="false">INDEX(Bloques!$F$2:$F$20,MATCH($F27,Bloques!$A$2:$A$20,0))&amp;"–"&amp;INDEX(Bloques!$G$2:$G$20,MATCH($F27,Bloques!$A$2:$A$20,0))</f>
        <v>70–90</v>
      </c>
      <c r="M27" s="9" t="str">
        <f aca="false">INDEX(Bloques!$J$2:$J$20,MATCH($F27,Bloques!$A$2:$A$20,0))&amp;"–"&amp;INDEX(Bloques!$K$2:$K$20,MATCH($F27,Bloques!$A$2:$A$20,0))</f>
        <v>70–90</v>
      </c>
      <c r="N27" s="7"/>
    </row>
    <row r="28" customFormat="false" ht="15" hidden="false" customHeight="false" outlineLevel="0" collapsed="false">
      <c r="A28" s="8" t="str">
        <f aca="false">B28&amp;" "&amp;C28&amp;"′"</f>
        <v>Progresivo 15′</v>
      </c>
      <c r="B28" s="7" t="s">
        <v>9</v>
      </c>
      <c r="C28" s="7" t="n">
        <v>15</v>
      </c>
      <c r="D28" s="7" t="n">
        <v>1</v>
      </c>
      <c r="E28" s="7" t="s">
        <v>40</v>
      </c>
      <c r="F28" s="7" t="s">
        <v>39</v>
      </c>
      <c r="G28" s="9" t="str">
        <f aca="false">INDEX(Bloques!$B$2:$B$20,MATCH($F28,Bloques!$A$2:$A$20,0))</f>
        <v>Calentamiento</v>
      </c>
      <c r="H28" s="7" t="n">
        <v>4</v>
      </c>
      <c r="I28" s="8" t="n">
        <v>0</v>
      </c>
      <c r="J28" s="9" t="str">
        <f aca="false">INDEX(Bloques!$C$2:$C$20,MATCH($F28,Bloques!$A$2:$A$20,0))</f>
        <v>Sentado</v>
      </c>
      <c r="K28" s="9" t="str">
        <f aca="false">INDEX(Bloques!$D$2:$D$20,MATCH($F28,Bloques!$A$2:$A$20,0))&amp;"–"&amp;INDEX(Bloques!$E$2:$E$20,MATCH($F28,Bloques!$A$2:$A$20,0))</f>
        <v>2–3</v>
      </c>
      <c r="L28" s="9" t="str">
        <f aca="false">INDEX(Bloques!$F$2:$F$20,MATCH($F28,Bloques!$A$2:$A$20,0))&amp;"–"&amp;INDEX(Bloques!$G$2:$G$20,MATCH($F28,Bloques!$A$2:$A$20,0))</f>
        <v>85–95</v>
      </c>
      <c r="M28" s="9" t="str">
        <f aca="false">INDEX(Bloques!$J$2:$J$20,MATCH($F28,Bloques!$A$2:$A$20,0))&amp;"–"&amp;INDEX(Bloques!$K$2:$K$20,MATCH($F28,Bloques!$A$2:$A$20,0))</f>
        <v>85–95</v>
      </c>
      <c r="N28" s="7"/>
    </row>
    <row r="29" customFormat="false" ht="15" hidden="false" customHeight="false" outlineLevel="0" collapsed="false">
      <c r="A29" s="8" t="str">
        <f aca="false">B29&amp;" "&amp;C29&amp;"′"</f>
        <v>Progresivo 15′</v>
      </c>
      <c r="B29" s="7" t="s">
        <v>9</v>
      </c>
      <c r="C29" s="7" t="n">
        <v>15</v>
      </c>
      <c r="D29" s="7" t="n">
        <v>2</v>
      </c>
      <c r="E29" s="7" t="s">
        <v>107</v>
      </c>
      <c r="F29" s="7" t="s">
        <v>49</v>
      </c>
      <c r="G29" s="9" t="str">
        <f aca="false">INDEX(Bloques!$B$2:$B$20,MATCH($F29,Bloques!$A$2:$A$20,0))</f>
        <v>Tempo</v>
      </c>
      <c r="H29" s="7" t="n">
        <v>4</v>
      </c>
      <c r="I29" s="8" t="n">
        <f aca="false">I28+H28</f>
        <v>4</v>
      </c>
      <c r="J29" s="9" t="str">
        <f aca="false">INDEX(Bloques!$C$2:$C$20,MATCH($F29,Bloques!$A$2:$A$20,0))</f>
        <v>Sentado</v>
      </c>
      <c r="K29" s="9" t="str">
        <f aca="false">INDEX(Bloques!$D$2:$D$20,MATCH($F29,Bloques!$A$2:$A$20,0))&amp;"–"&amp;INDEX(Bloques!$E$2:$E$20,MATCH($F29,Bloques!$A$2:$A$20,0))</f>
        <v>5–6</v>
      </c>
      <c r="L29" s="9" t="str">
        <f aca="false">INDEX(Bloques!$F$2:$F$20,MATCH($F29,Bloques!$A$2:$A$20,0))&amp;"–"&amp;INDEX(Bloques!$G$2:$G$20,MATCH($F29,Bloques!$A$2:$A$20,0))</f>
        <v>90–100</v>
      </c>
      <c r="M29" s="9" t="str">
        <f aca="false">INDEX(Bloques!$J$2:$J$20,MATCH($F29,Bloques!$A$2:$A$20,0))&amp;"–"&amp;INDEX(Bloques!$K$2:$K$20,MATCH($F29,Bloques!$A$2:$A$20,0))</f>
        <v>90–100</v>
      </c>
      <c r="N29" s="7" t="s">
        <v>108</v>
      </c>
    </row>
    <row r="30" customFormat="false" ht="15" hidden="false" customHeight="false" outlineLevel="0" collapsed="false">
      <c r="A30" s="8" t="str">
        <f aca="false">B30&amp;" "&amp;C30&amp;"′"</f>
        <v>Progresivo 15′</v>
      </c>
      <c r="B30" s="7" t="s">
        <v>9</v>
      </c>
      <c r="C30" s="7" t="n">
        <v>15</v>
      </c>
      <c r="D30" s="7" t="n">
        <v>3</v>
      </c>
      <c r="E30" s="7" t="s">
        <v>109</v>
      </c>
      <c r="F30" s="7" t="s">
        <v>57</v>
      </c>
      <c r="G30" s="9" t="str">
        <f aca="false">INDEX(Bloques!$B$2:$B$20,MATCH($F30,Bloques!$A$2:$A$20,0))</f>
        <v>Subida sentado</v>
      </c>
      <c r="H30" s="7" t="n">
        <v>4</v>
      </c>
      <c r="I30" s="8" t="n">
        <f aca="false">I29+H29</f>
        <v>8</v>
      </c>
      <c r="J30" s="9" t="str">
        <f aca="false">INDEX(Bloques!$C$2:$C$20,MATCH($F30,Bloques!$A$2:$A$20,0))</f>
        <v>Sentado</v>
      </c>
      <c r="K30" s="9" t="str">
        <f aca="false">INDEX(Bloques!$D$2:$D$20,MATCH($F30,Bloques!$A$2:$A$20,0))&amp;"–"&amp;INDEX(Bloques!$E$2:$E$20,MATCH($F30,Bloques!$A$2:$A$20,0))</f>
        <v>6–7</v>
      </c>
      <c r="L30" s="9" t="str">
        <f aca="false">INDEX(Bloques!$F$2:$F$20,MATCH($F30,Bloques!$A$2:$A$20,0))&amp;"–"&amp;INDEX(Bloques!$G$2:$G$20,MATCH($F30,Bloques!$A$2:$A$20,0))</f>
        <v>70–80</v>
      </c>
      <c r="M30" s="9" t="str">
        <f aca="false">INDEX(Bloques!$J$2:$J$20,MATCH($F30,Bloques!$A$2:$A$20,0))&amp;"–"&amp;INDEX(Bloques!$K$2:$K$20,MATCH($F30,Bloques!$A$2:$A$20,0))</f>
        <v>140–160</v>
      </c>
      <c r="N30" s="7"/>
    </row>
    <row r="31" customFormat="false" ht="15" hidden="false" customHeight="false" outlineLevel="0" collapsed="false">
      <c r="A31" s="8" t="str">
        <f aca="false">B31&amp;" "&amp;C31&amp;"′"</f>
        <v>Progresivo 15′</v>
      </c>
      <c r="B31" s="7" t="s">
        <v>9</v>
      </c>
      <c r="C31" s="7" t="n">
        <v>15</v>
      </c>
      <c r="D31" s="7" t="n">
        <v>4</v>
      </c>
      <c r="E31" s="7" t="s">
        <v>102</v>
      </c>
      <c r="F31" s="7" t="s">
        <v>85</v>
      </c>
      <c r="G31" s="9" t="str">
        <f aca="false">INDEX(Bloques!$B$2:$B$20,MATCH($F31,Bloques!$A$2:$A$20,0))</f>
        <v>Vuelta a la calma</v>
      </c>
      <c r="H31" s="7" t="n">
        <v>3</v>
      </c>
      <c r="I31" s="8" t="n">
        <f aca="false">I30+H30</f>
        <v>12</v>
      </c>
      <c r="J31" s="9" t="str">
        <f aca="false">INDEX(Bloques!$C$2:$C$20,MATCH($F31,Bloques!$A$2:$A$20,0))</f>
        <v>Sentado</v>
      </c>
      <c r="K31" s="9" t="str">
        <f aca="false">INDEX(Bloques!$D$2:$D$20,MATCH($F31,Bloques!$A$2:$A$20,0))&amp;"–"&amp;INDEX(Bloques!$E$2:$E$20,MATCH($F31,Bloques!$A$2:$A$20,0))</f>
        <v>1–2</v>
      </c>
      <c r="L31" s="9" t="str">
        <f aca="false">INDEX(Bloques!$F$2:$F$20,MATCH($F31,Bloques!$A$2:$A$20,0))&amp;"–"&amp;INDEX(Bloques!$G$2:$G$20,MATCH($F31,Bloques!$A$2:$A$20,0))</f>
        <v>70–90</v>
      </c>
      <c r="M31" s="9" t="str">
        <f aca="false">INDEX(Bloques!$J$2:$J$20,MATCH($F31,Bloques!$A$2:$A$20,0))&amp;"–"&amp;INDEX(Bloques!$K$2:$K$20,MATCH($F31,Bloques!$A$2:$A$20,0))</f>
        <v>70–90</v>
      </c>
      <c r="N31" s="7"/>
    </row>
    <row r="32" customFormat="false" ht="15" hidden="false" customHeight="false" outlineLevel="0" collapsed="false">
      <c r="A32" s="8" t="str">
        <f aca="false">B32&amp;" "&amp;C32&amp;"′"</f>
        <v>Progresivo 30′</v>
      </c>
      <c r="B32" s="7" t="s">
        <v>9</v>
      </c>
      <c r="C32" s="7" t="n">
        <v>30</v>
      </c>
      <c r="D32" s="7" t="n">
        <v>1</v>
      </c>
      <c r="E32" s="7" t="s">
        <v>40</v>
      </c>
      <c r="F32" s="7" t="s">
        <v>39</v>
      </c>
      <c r="G32" s="9" t="str">
        <f aca="false">INDEX(Bloques!$B$2:$B$20,MATCH($F32,Bloques!$A$2:$A$20,0))</f>
        <v>Calentamiento</v>
      </c>
      <c r="H32" s="7" t="n">
        <v>5</v>
      </c>
      <c r="I32" s="8" t="n">
        <v>0</v>
      </c>
      <c r="J32" s="9" t="str">
        <f aca="false">INDEX(Bloques!$C$2:$C$20,MATCH($F32,Bloques!$A$2:$A$20,0))</f>
        <v>Sentado</v>
      </c>
      <c r="K32" s="9" t="str">
        <f aca="false">INDEX(Bloques!$D$2:$D$20,MATCH($F32,Bloques!$A$2:$A$20,0))&amp;"–"&amp;INDEX(Bloques!$E$2:$E$20,MATCH($F32,Bloques!$A$2:$A$20,0))</f>
        <v>2–3</v>
      </c>
      <c r="L32" s="9" t="str">
        <f aca="false">INDEX(Bloques!$F$2:$F$20,MATCH($F32,Bloques!$A$2:$A$20,0))&amp;"–"&amp;INDEX(Bloques!$G$2:$G$20,MATCH($F32,Bloques!$A$2:$A$20,0))</f>
        <v>85–95</v>
      </c>
      <c r="M32" s="9" t="str">
        <f aca="false">INDEX(Bloques!$J$2:$J$20,MATCH($F32,Bloques!$A$2:$A$20,0))&amp;"–"&amp;INDEX(Bloques!$K$2:$K$20,MATCH($F32,Bloques!$A$2:$A$20,0))</f>
        <v>85–95</v>
      </c>
      <c r="N32" s="7"/>
    </row>
    <row r="33" customFormat="false" ht="15" hidden="false" customHeight="false" outlineLevel="0" collapsed="false">
      <c r="A33" s="8" t="str">
        <f aca="false">B33&amp;" "&amp;C33&amp;"′"</f>
        <v>Progresivo 30′</v>
      </c>
      <c r="B33" s="7" t="s">
        <v>9</v>
      </c>
      <c r="C33" s="7" t="n">
        <v>30</v>
      </c>
      <c r="D33" s="7" t="n">
        <v>2</v>
      </c>
      <c r="E33" s="7" t="s">
        <v>107</v>
      </c>
      <c r="F33" s="7" t="s">
        <v>45</v>
      </c>
      <c r="G33" s="9" t="str">
        <f aca="false">INDEX(Bloques!$B$2:$B$20,MATCH($F33,Bloques!$A$2:$A$20,0))</f>
        <v>Llano</v>
      </c>
      <c r="H33" s="7" t="n">
        <v>5</v>
      </c>
      <c r="I33" s="8" t="n">
        <f aca="false">I32+H32</f>
        <v>5</v>
      </c>
      <c r="J33" s="9" t="str">
        <f aca="false">INDEX(Bloques!$C$2:$C$20,MATCH($F33,Bloques!$A$2:$A$20,0))</f>
        <v>Sentado</v>
      </c>
      <c r="K33" s="9" t="str">
        <f aca="false">INDEX(Bloques!$D$2:$D$20,MATCH($F33,Bloques!$A$2:$A$20,0))&amp;"–"&amp;INDEX(Bloques!$E$2:$E$20,MATCH($F33,Bloques!$A$2:$A$20,0))</f>
        <v>3–4</v>
      </c>
      <c r="L33" s="9" t="str">
        <f aca="false">INDEX(Bloques!$F$2:$F$20,MATCH($F33,Bloques!$A$2:$A$20,0))&amp;"–"&amp;INDEX(Bloques!$G$2:$G$20,MATCH($F33,Bloques!$A$2:$A$20,0))</f>
        <v>90–100</v>
      </c>
      <c r="M33" s="9" t="str">
        <f aca="false">INDEX(Bloques!$J$2:$J$20,MATCH($F33,Bloques!$A$2:$A$20,0))&amp;"–"&amp;INDEX(Bloques!$K$2:$K$20,MATCH($F33,Bloques!$A$2:$A$20,0))</f>
        <v>90–100</v>
      </c>
      <c r="N33" s="7"/>
    </row>
    <row r="34" customFormat="false" ht="15" hidden="false" customHeight="false" outlineLevel="0" collapsed="false">
      <c r="A34" s="8" t="str">
        <f aca="false">B34&amp;" "&amp;C34&amp;"′"</f>
        <v>Progresivo 30′</v>
      </c>
      <c r="B34" s="7" t="s">
        <v>9</v>
      </c>
      <c r="C34" s="7" t="n">
        <v>30</v>
      </c>
      <c r="D34" s="7" t="n">
        <v>3</v>
      </c>
      <c r="E34" s="7" t="s">
        <v>109</v>
      </c>
      <c r="F34" s="7" t="s">
        <v>49</v>
      </c>
      <c r="G34" s="9" t="str">
        <f aca="false">INDEX(Bloques!$B$2:$B$20,MATCH($F34,Bloques!$A$2:$A$20,0))</f>
        <v>Tempo</v>
      </c>
      <c r="H34" s="7" t="n">
        <v>5</v>
      </c>
      <c r="I34" s="8" t="n">
        <f aca="false">I33+H33</f>
        <v>10</v>
      </c>
      <c r="J34" s="9" t="str">
        <f aca="false">INDEX(Bloques!$C$2:$C$20,MATCH($F34,Bloques!$A$2:$A$20,0))</f>
        <v>Sentado</v>
      </c>
      <c r="K34" s="9" t="str">
        <f aca="false">INDEX(Bloques!$D$2:$D$20,MATCH($F34,Bloques!$A$2:$A$20,0))&amp;"–"&amp;INDEX(Bloques!$E$2:$E$20,MATCH($F34,Bloques!$A$2:$A$20,0))</f>
        <v>5–6</v>
      </c>
      <c r="L34" s="9" t="str">
        <f aca="false">INDEX(Bloques!$F$2:$F$20,MATCH($F34,Bloques!$A$2:$A$20,0))&amp;"–"&amp;INDEX(Bloques!$G$2:$G$20,MATCH($F34,Bloques!$A$2:$A$20,0))</f>
        <v>90–100</v>
      </c>
      <c r="M34" s="9" t="str">
        <f aca="false">INDEX(Bloques!$J$2:$J$20,MATCH($F34,Bloques!$A$2:$A$20,0))&amp;"–"&amp;INDEX(Bloques!$K$2:$K$20,MATCH($F34,Bloques!$A$2:$A$20,0))</f>
        <v>90–100</v>
      </c>
      <c r="N34" s="7"/>
    </row>
    <row r="35" customFormat="false" ht="15" hidden="false" customHeight="false" outlineLevel="0" collapsed="false">
      <c r="A35" s="8" t="str">
        <f aca="false">B35&amp;" "&amp;C35&amp;"′"</f>
        <v>Progresivo 30′</v>
      </c>
      <c r="B35" s="7" t="s">
        <v>9</v>
      </c>
      <c r="C35" s="7" t="n">
        <v>30</v>
      </c>
      <c r="D35" s="7" t="n">
        <v>4</v>
      </c>
      <c r="E35" s="7" t="s">
        <v>110</v>
      </c>
      <c r="F35" s="7" t="s">
        <v>57</v>
      </c>
      <c r="G35" s="9" t="str">
        <f aca="false">INDEX(Bloques!$B$2:$B$20,MATCH($F35,Bloques!$A$2:$A$20,0))</f>
        <v>Subida sentado</v>
      </c>
      <c r="H35" s="7" t="n">
        <v>5</v>
      </c>
      <c r="I35" s="8" t="n">
        <f aca="false">I34+H34</f>
        <v>15</v>
      </c>
      <c r="J35" s="9" t="str">
        <f aca="false">INDEX(Bloques!$C$2:$C$20,MATCH($F35,Bloques!$A$2:$A$20,0))</f>
        <v>Sentado</v>
      </c>
      <c r="K35" s="9" t="str">
        <f aca="false">INDEX(Bloques!$D$2:$D$20,MATCH($F35,Bloques!$A$2:$A$20,0))&amp;"–"&amp;INDEX(Bloques!$E$2:$E$20,MATCH($F35,Bloques!$A$2:$A$20,0))</f>
        <v>6–7</v>
      </c>
      <c r="L35" s="9" t="str">
        <f aca="false">INDEX(Bloques!$F$2:$F$20,MATCH($F35,Bloques!$A$2:$A$20,0))&amp;"–"&amp;INDEX(Bloques!$G$2:$G$20,MATCH($F35,Bloques!$A$2:$A$20,0))</f>
        <v>70–80</v>
      </c>
      <c r="M35" s="9" t="str">
        <f aca="false">INDEX(Bloques!$J$2:$J$20,MATCH($F35,Bloques!$A$2:$A$20,0))&amp;"–"&amp;INDEX(Bloques!$K$2:$K$20,MATCH($F35,Bloques!$A$2:$A$20,0))</f>
        <v>140–160</v>
      </c>
      <c r="N35" s="7"/>
    </row>
    <row r="36" customFormat="false" ht="15" hidden="false" customHeight="false" outlineLevel="0" collapsed="false">
      <c r="A36" s="8" t="str">
        <f aca="false">B36&amp;" "&amp;C36&amp;"′"</f>
        <v>Progresivo 30′</v>
      </c>
      <c r="B36" s="7" t="s">
        <v>9</v>
      </c>
      <c r="C36" s="7" t="n">
        <v>30</v>
      </c>
      <c r="D36" s="7" t="n">
        <v>5</v>
      </c>
      <c r="E36" s="7" t="s">
        <v>111</v>
      </c>
      <c r="F36" s="7" t="s">
        <v>61</v>
      </c>
      <c r="G36" s="9" t="str">
        <f aca="false">INDEX(Bloques!$B$2:$B$20,MATCH($F36,Bloques!$A$2:$A$20,0))</f>
        <v>Subida de pie</v>
      </c>
      <c r="H36" s="7" t="n">
        <v>4</v>
      </c>
      <c r="I36" s="8" t="n">
        <f aca="false">I35+H35</f>
        <v>20</v>
      </c>
      <c r="J36" s="9" t="str">
        <f aca="false">INDEX(Bloques!$C$2:$C$20,MATCH($F36,Bloques!$A$2:$A$20,0))</f>
        <v>De pie</v>
      </c>
      <c r="K36" s="9" t="str">
        <f aca="false">INDEX(Bloques!$D$2:$D$20,MATCH($F36,Bloques!$A$2:$A$20,0))&amp;"–"&amp;INDEX(Bloques!$E$2:$E$20,MATCH($F36,Bloques!$A$2:$A$20,0))</f>
        <v>7–8</v>
      </c>
      <c r="L36" s="9" t="str">
        <f aca="false">INDEX(Bloques!$F$2:$F$20,MATCH($F36,Bloques!$A$2:$A$20,0))&amp;"–"&amp;INDEX(Bloques!$G$2:$G$20,MATCH($F36,Bloques!$A$2:$A$20,0))</f>
        <v>60–75</v>
      </c>
      <c r="M36" s="9" t="str">
        <f aca="false">INDEX(Bloques!$J$2:$J$20,MATCH($F36,Bloques!$A$2:$A$20,0))&amp;"–"&amp;INDEX(Bloques!$K$2:$K$20,MATCH($F36,Bloques!$A$2:$A$20,0))</f>
        <v>120–150</v>
      </c>
      <c r="N36" s="7"/>
    </row>
    <row r="37" customFormat="false" ht="15" hidden="false" customHeight="false" outlineLevel="0" collapsed="false">
      <c r="A37" s="8" t="str">
        <f aca="false">B37&amp;" "&amp;C37&amp;"′"</f>
        <v>Progresivo 30′</v>
      </c>
      <c r="B37" s="7" t="s">
        <v>9</v>
      </c>
      <c r="C37" s="7" t="n">
        <v>30</v>
      </c>
      <c r="D37" s="7" t="n">
        <v>6</v>
      </c>
      <c r="E37" s="7" t="s">
        <v>102</v>
      </c>
      <c r="F37" s="7" t="s">
        <v>85</v>
      </c>
      <c r="G37" s="9" t="str">
        <f aca="false">INDEX(Bloques!$B$2:$B$20,MATCH($F37,Bloques!$A$2:$A$20,0))</f>
        <v>Vuelta a la calma</v>
      </c>
      <c r="H37" s="7" t="n">
        <v>6</v>
      </c>
      <c r="I37" s="8" t="n">
        <f aca="false">I36+H36</f>
        <v>24</v>
      </c>
      <c r="J37" s="9" t="str">
        <f aca="false">INDEX(Bloques!$C$2:$C$20,MATCH($F37,Bloques!$A$2:$A$20,0))</f>
        <v>Sentado</v>
      </c>
      <c r="K37" s="9" t="str">
        <f aca="false">INDEX(Bloques!$D$2:$D$20,MATCH($F37,Bloques!$A$2:$A$20,0))&amp;"–"&amp;INDEX(Bloques!$E$2:$E$20,MATCH($F37,Bloques!$A$2:$A$20,0))</f>
        <v>1–2</v>
      </c>
      <c r="L37" s="9" t="str">
        <f aca="false">INDEX(Bloques!$F$2:$F$20,MATCH($F37,Bloques!$A$2:$A$20,0))&amp;"–"&amp;INDEX(Bloques!$G$2:$G$20,MATCH($F37,Bloques!$A$2:$A$20,0))</f>
        <v>70–90</v>
      </c>
      <c r="M37" s="9" t="str">
        <f aca="false">INDEX(Bloques!$J$2:$J$20,MATCH($F37,Bloques!$A$2:$A$20,0))&amp;"–"&amp;INDEX(Bloques!$K$2:$K$20,MATCH($F37,Bloques!$A$2:$A$20,0))</f>
        <v>70–90</v>
      </c>
      <c r="N37" s="7"/>
    </row>
    <row r="38" customFormat="false" ht="15" hidden="false" customHeight="false" outlineLevel="0" collapsed="false">
      <c r="A38" s="8" t="str">
        <f aca="false">B38&amp;" "&amp;C38&amp;"′"</f>
        <v>Progresivo 45′</v>
      </c>
      <c r="B38" s="7" t="s">
        <v>9</v>
      </c>
      <c r="C38" s="7" t="n">
        <v>45</v>
      </c>
      <c r="D38" s="7" t="n">
        <v>1</v>
      </c>
      <c r="E38" s="7" t="s">
        <v>40</v>
      </c>
      <c r="F38" s="7" t="s">
        <v>39</v>
      </c>
      <c r="G38" s="9" t="str">
        <f aca="false">INDEX(Bloques!$B$2:$B$20,MATCH($F38,Bloques!$A$2:$A$20,0))</f>
        <v>Calentamiento</v>
      </c>
      <c r="H38" s="7" t="n">
        <v>5</v>
      </c>
      <c r="I38" s="8" t="n">
        <v>0</v>
      </c>
      <c r="J38" s="9" t="str">
        <f aca="false">INDEX(Bloques!$C$2:$C$20,MATCH($F38,Bloques!$A$2:$A$20,0))</f>
        <v>Sentado</v>
      </c>
      <c r="K38" s="9" t="str">
        <f aca="false">INDEX(Bloques!$D$2:$D$20,MATCH($F38,Bloques!$A$2:$A$20,0))&amp;"–"&amp;INDEX(Bloques!$E$2:$E$20,MATCH($F38,Bloques!$A$2:$A$20,0))</f>
        <v>2–3</v>
      </c>
      <c r="L38" s="9" t="str">
        <f aca="false">INDEX(Bloques!$F$2:$F$20,MATCH($F38,Bloques!$A$2:$A$20,0))&amp;"–"&amp;INDEX(Bloques!$G$2:$G$20,MATCH($F38,Bloques!$A$2:$A$20,0))</f>
        <v>85–95</v>
      </c>
      <c r="M38" s="9" t="str">
        <f aca="false">INDEX(Bloques!$J$2:$J$20,MATCH($F38,Bloques!$A$2:$A$20,0))&amp;"–"&amp;INDEX(Bloques!$K$2:$K$20,MATCH($F38,Bloques!$A$2:$A$20,0))</f>
        <v>85–95</v>
      </c>
      <c r="N38" s="7"/>
    </row>
    <row r="39" customFormat="false" ht="15" hidden="false" customHeight="false" outlineLevel="0" collapsed="false">
      <c r="A39" s="8" t="str">
        <f aca="false">B39&amp;" "&amp;C39&amp;"′"</f>
        <v>Progresivo 45′</v>
      </c>
      <c r="B39" s="7" t="s">
        <v>9</v>
      </c>
      <c r="C39" s="7" t="n">
        <v>45</v>
      </c>
      <c r="D39" s="7" t="n">
        <v>2</v>
      </c>
      <c r="E39" s="7" t="s">
        <v>107</v>
      </c>
      <c r="F39" s="7" t="s">
        <v>45</v>
      </c>
      <c r="G39" s="9" t="str">
        <f aca="false">INDEX(Bloques!$B$2:$B$20,MATCH($F39,Bloques!$A$2:$A$20,0))</f>
        <v>Llano</v>
      </c>
      <c r="H39" s="7" t="n">
        <v>7</v>
      </c>
      <c r="I39" s="8" t="n">
        <f aca="false">I38+H38</f>
        <v>5</v>
      </c>
      <c r="J39" s="9" t="str">
        <f aca="false">INDEX(Bloques!$C$2:$C$20,MATCH($F39,Bloques!$A$2:$A$20,0))</f>
        <v>Sentado</v>
      </c>
      <c r="K39" s="9" t="str">
        <f aca="false">INDEX(Bloques!$D$2:$D$20,MATCH($F39,Bloques!$A$2:$A$20,0))&amp;"–"&amp;INDEX(Bloques!$E$2:$E$20,MATCH($F39,Bloques!$A$2:$A$20,0))</f>
        <v>3–4</v>
      </c>
      <c r="L39" s="9" t="str">
        <f aca="false">INDEX(Bloques!$F$2:$F$20,MATCH($F39,Bloques!$A$2:$A$20,0))&amp;"–"&amp;INDEX(Bloques!$G$2:$G$20,MATCH($F39,Bloques!$A$2:$A$20,0))</f>
        <v>90–100</v>
      </c>
      <c r="M39" s="9" t="str">
        <f aca="false">INDEX(Bloques!$J$2:$J$20,MATCH($F39,Bloques!$A$2:$A$20,0))&amp;"–"&amp;INDEX(Bloques!$K$2:$K$20,MATCH($F39,Bloques!$A$2:$A$20,0))</f>
        <v>90–100</v>
      </c>
      <c r="N39" s="7"/>
    </row>
    <row r="40" customFormat="false" ht="15" hidden="false" customHeight="false" outlineLevel="0" collapsed="false">
      <c r="A40" s="8" t="str">
        <f aca="false">B40&amp;" "&amp;C40&amp;"′"</f>
        <v>Progresivo 45′</v>
      </c>
      <c r="B40" s="7" t="s">
        <v>9</v>
      </c>
      <c r="C40" s="7" t="n">
        <v>45</v>
      </c>
      <c r="D40" s="7" t="n">
        <v>3</v>
      </c>
      <c r="E40" s="7" t="s">
        <v>109</v>
      </c>
      <c r="F40" s="7" t="s">
        <v>49</v>
      </c>
      <c r="G40" s="9" t="str">
        <f aca="false">INDEX(Bloques!$B$2:$B$20,MATCH($F40,Bloques!$A$2:$A$20,0))</f>
        <v>Tempo</v>
      </c>
      <c r="H40" s="7" t="n">
        <v>8</v>
      </c>
      <c r="I40" s="8" t="n">
        <f aca="false">I39+H39</f>
        <v>12</v>
      </c>
      <c r="J40" s="9" t="str">
        <f aca="false">INDEX(Bloques!$C$2:$C$20,MATCH($F40,Bloques!$A$2:$A$20,0))</f>
        <v>Sentado</v>
      </c>
      <c r="K40" s="9" t="str">
        <f aca="false">INDEX(Bloques!$D$2:$D$20,MATCH($F40,Bloques!$A$2:$A$20,0))&amp;"–"&amp;INDEX(Bloques!$E$2:$E$20,MATCH($F40,Bloques!$A$2:$A$20,0))</f>
        <v>5–6</v>
      </c>
      <c r="L40" s="9" t="str">
        <f aca="false">INDEX(Bloques!$F$2:$F$20,MATCH($F40,Bloques!$A$2:$A$20,0))&amp;"–"&amp;INDEX(Bloques!$G$2:$G$20,MATCH($F40,Bloques!$A$2:$A$20,0))</f>
        <v>90–100</v>
      </c>
      <c r="M40" s="9" t="str">
        <f aca="false">INDEX(Bloques!$J$2:$J$20,MATCH($F40,Bloques!$A$2:$A$20,0))&amp;"–"&amp;INDEX(Bloques!$K$2:$K$20,MATCH($F40,Bloques!$A$2:$A$20,0))</f>
        <v>90–100</v>
      </c>
      <c r="N40" s="7"/>
    </row>
    <row r="41" customFormat="false" ht="15" hidden="false" customHeight="false" outlineLevel="0" collapsed="false">
      <c r="A41" s="8" t="str">
        <f aca="false">B41&amp;" "&amp;C41&amp;"′"</f>
        <v>Progresivo 45′</v>
      </c>
      <c r="B41" s="7" t="s">
        <v>9</v>
      </c>
      <c r="C41" s="7" t="n">
        <v>45</v>
      </c>
      <c r="D41" s="7" t="n">
        <v>4</v>
      </c>
      <c r="E41" s="7" t="s">
        <v>110</v>
      </c>
      <c r="F41" s="7" t="s">
        <v>57</v>
      </c>
      <c r="G41" s="9" t="str">
        <f aca="false">INDEX(Bloques!$B$2:$B$20,MATCH($F41,Bloques!$A$2:$A$20,0))</f>
        <v>Subida sentado</v>
      </c>
      <c r="H41" s="7" t="n">
        <v>8</v>
      </c>
      <c r="I41" s="8" t="n">
        <f aca="false">I40+H40</f>
        <v>20</v>
      </c>
      <c r="J41" s="9" t="str">
        <f aca="false">INDEX(Bloques!$C$2:$C$20,MATCH($F41,Bloques!$A$2:$A$20,0))</f>
        <v>Sentado</v>
      </c>
      <c r="K41" s="9" t="str">
        <f aca="false">INDEX(Bloques!$D$2:$D$20,MATCH($F41,Bloques!$A$2:$A$20,0))&amp;"–"&amp;INDEX(Bloques!$E$2:$E$20,MATCH($F41,Bloques!$A$2:$A$20,0))</f>
        <v>6–7</v>
      </c>
      <c r="L41" s="9" t="str">
        <f aca="false">INDEX(Bloques!$F$2:$F$20,MATCH($F41,Bloques!$A$2:$A$20,0))&amp;"–"&amp;INDEX(Bloques!$G$2:$G$20,MATCH($F41,Bloques!$A$2:$A$20,0))</f>
        <v>70–80</v>
      </c>
      <c r="M41" s="9" t="str">
        <f aca="false">INDEX(Bloques!$J$2:$J$20,MATCH($F41,Bloques!$A$2:$A$20,0))&amp;"–"&amp;INDEX(Bloques!$K$2:$K$20,MATCH($F41,Bloques!$A$2:$A$20,0))</f>
        <v>140–160</v>
      </c>
      <c r="N41" s="7"/>
    </row>
    <row r="42" customFormat="false" ht="15" hidden="false" customHeight="false" outlineLevel="0" collapsed="false">
      <c r="A42" s="8" t="str">
        <f aca="false">B42&amp;" "&amp;C42&amp;"′"</f>
        <v>Progresivo 45′</v>
      </c>
      <c r="B42" s="7" t="s">
        <v>9</v>
      </c>
      <c r="C42" s="7" t="n">
        <v>45</v>
      </c>
      <c r="D42" s="7" t="n">
        <v>5</v>
      </c>
      <c r="E42" s="7" t="s">
        <v>111</v>
      </c>
      <c r="F42" s="7" t="s">
        <v>61</v>
      </c>
      <c r="G42" s="9" t="str">
        <f aca="false">INDEX(Bloques!$B$2:$B$20,MATCH($F42,Bloques!$A$2:$A$20,0))</f>
        <v>Subida de pie</v>
      </c>
      <c r="H42" s="7" t="n">
        <v>6</v>
      </c>
      <c r="I42" s="8" t="n">
        <f aca="false">I41+H41</f>
        <v>28</v>
      </c>
      <c r="J42" s="9" t="str">
        <f aca="false">INDEX(Bloques!$C$2:$C$20,MATCH($F42,Bloques!$A$2:$A$20,0))</f>
        <v>De pie</v>
      </c>
      <c r="K42" s="9" t="str">
        <f aca="false">INDEX(Bloques!$D$2:$D$20,MATCH($F42,Bloques!$A$2:$A$20,0))&amp;"–"&amp;INDEX(Bloques!$E$2:$E$20,MATCH($F42,Bloques!$A$2:$A$20,0))</f>
        <v>7–8</v>
      </c>
      <c r="L42" s="9" t="str">
        <f aca="false">INDEX(Bloques!$F$2:$F$20,MATCH($F42,Bloques!$A$2:$A$20,0))&amp;"–"&amp;INDEX(Bloques!$G$2:$G$20,MATCH($F42,Bloques!$A$2:$A$20,0))</f>
        <v>60–75</v>
      </c>
      <c r="M42" s="9" t="str">
        <f aca="false">INDEX(Bloques!$J$2:$J$20,MATCH($F42,Bloques!$A$2:$A$20,0))&amp;"–"&amp;INDEX(Bloques!$K$2:$K$20,MATCH($F42,Bloques!$A$2:$A$20,0))</f>
        <v>120–150</v>
      </c>
      <c r="N42" s="7"/>
    </row>
    <row r="43" customFormat="false" ht="15" hidden="false" customHeight="false" outlineLevel="0" collapsed="false">
      <c r="A43" s="8" t="str">
        <f aca="false">B43&amp;" "&amp;C43&amp;"′"</f>
        <v>Progresivo 45′</v>
      </c>
      <c r="B43" s="7" t="s">
        <v>9</v>
      </c>
      <c r="C43" s="7" t="n">
        <v>45</v>
      </c>
      <c r="D43" s="7" t="n">
        <v>6</v>
      </c>
      <c r="E43" s="7" t="s">
        <v>112</v>
      </c>
      <c r="F43" s="7" t="s">
        <v>79</v>
      </c>
      <c r="G43" s="9" t="str">
        <f aca="false">INDEX(Bloques!$B$2:$B$20,MATCH($F43,Bloques!$A$2:$A$20,0))</f>
        <v>Sprint</v>
      </c>
      <c r="H43" s="7" t="n">
        <v>4</v>
      </c>
      <c r="I43" s="8" t="n">
        <f aca="false">I42+H42</f>
        <v>34</v>
      </c>
      <c r="J43" s="9" t="str">
        <f aca="false">INDEX(Bloques!$C$2:$C$20,MATCH($F43,Bloques!$A$2:$A$20,0))</f>
        <v>Sentado</v>
      </c>
      <c r="K43" s="9" t="str">
        <f aca="false">INDEX(Bloques!$D$2:$D$20,MATCH($F43,Bloques!$A$2:$A$20,0))&amp;"–"&amp;INDEX(Bloques!$E$2:$E$20,MATCH($F43,Bloques!$A$2:$A$20,0))</f>
        <v>5–6</v>
      </c>
      <c r="L43" s="9" t="str">
        <f aca="false">INDEX(Bloques!$F$2:$F$20,MATCH($F43,Bloques!$A$2:$A$20,0))&amp;"–"&amp;INDEX(Bloques!$G$2:$G$20,MATCH($F43,Bloques!$A$2:$A$20,0))</f>
        <v>100–120</v>
      </c>
      <c r="M43" s="9" t="str">
        <f aca="false">INDEX(Bloques!$J$2:$J$20,MATCH($F43,Bloques!$A$2:$A$20,0))&amp;"–"&amp;INDEX(Bloques!$K$2:$K$20,MATCH($F43,Bloques!$A$2:$A$20,0))</f>
        <v>100–120</v>
      </c>
      <c r="N43" s="7"/>
    </row>
    <row r="44" customFormat="false" ht="15" hidden="false" customHeight="false" outlineLevel="0" collapsed="false">
      <c r="A44" s="8" t="str">
        <f aca="false">B44&amp;" "&amp;C44&amp;"′"</f>
        <v>Progresivo 45′</v>
      </c>
      <c r="B44" s="7" t="s">
        <v>9</v>
      </c>
      <c r="C44" s="7" t="n">
        <v>45</v>
      </c>
      <c r="D44" s="7" t="n">
        <v>7</v>
      </c>
      <c r="E44" s="7" t="s">
        <v>102</v>
      </c>
      <c r="F44" s="7" t="s">
        <v>85</v>
      </c>
      <c r="G44" s="9" t="str">
        <f aca="false">INDEX(Bloques!$B$2:$B$20,MATCH($F44,Bloques!$A$2:$A$20,0))</f>
        <v>Vuelta a la calma</v>
      </c>
      <c r="H44" s="7" t="n">
        <v>7</v>
      </c>
      <c r="I44" s="8" t="n">
        <f aca="false">I43+H43</f>
        <v>38</v>
      </c>
      <c r="J44" s="9" t="str">
        <f aca="false">INDEX(Bloques!$C$2:$C$20,MATCH($F44,Bloques!$A$2:$A$20,0))</f>
        <v>Sentado</v>
      </c>
      <c r="K44" s="9" t="str">
        <f aca="false">INDEX(Bloques!$D$2:$D$20,MATCH($F44,Bloques!$A$2:$A$20,0))&amp;"–"&amp;INDEX(Bloques!$E$2:$E$20,MATCH($F44,Bloques!$A$2:$A$20,0))</f>
        <v>1–2</v>
      </c>
      <c r="L44" s="9" t="str">
        <f aca="false">INDEX(Bloques!$F$2:$F$20,MATCH($F44,Bloques!$A$2:$A$20,0))&amp;"–"&amp;INDEX(Bloques!$G$2:$G$20,MATCH($F44,Bloques!$A$2:$A$20,0))</f>
        <v>70–90</v>
      </c>
      <c r="M44" s="9" t="str">
        <f aca="false">INDEX(Bloques!$J$2:$J$20,MATCH($F44,Bloques!$A$2:$A$20,0))&amp;"–"&amp;INDEX(Bloques!$K$2:$K$20,MATCH($F44,Bloques!$A$2:$A$20,0))</f>
        <v>70–90</v>
      </c>
      <c r="N44" s="7"/>
    </row>
    <row r="45" customFormat="false" ht="15" hidden="false" customHeight="false" outlineLevel="0" collapsed="false">
      <c r="A45" s="8" t="str">
        <f aca="false">B45&amp;" "&amp;C45&amp;"′"</f>
        <v>Progresivo 60′</v>
      </c>
      <c r="B45" s="7" t="s">
        <v>9</v>
      </c>
      <c r="C45" s="7" t="n">
        <v>60</v>
      </c>
      <c r="D45" s="7" t="n">
        <v>1</v>
      </c>
      <c r="E45" s="7" t="s">
        <v>40</v>
      </c>
      <c r="F45" s="7" t="s">
        <v>39</v>
      </c>
      <c r="G45" s="9" t="str">
        <f aca="false">INDEX(Bloques!$B$2:$B$20,MATCH($F45,Bloques!$A$2:$A$20,0))</f>
        <v>Calentamiento</v>
      </c>
      <c r="H45" s="7" t="n">
        <v>8</v>
      </c>
      <c r="I45" s="8" t="n">
        <v>0</v>
      </c>
      <c r="J45" s="9" t="str">
        <f aca="false">INDEX(Bloques!$C$2:$C$20,MATCH($F45,Bloques!$A$2:$A$20,0))</f>
        <v>Sentado</v>
      </c>
      <c r="K45" s="9" t="str">
        <f aca="false">INDEX(Bloques!$D$2:$D$20,MATCH($F45,Bloques!$A$2:$A$20,0))&amp;"–"&amp;INDEX(Bloques!$E$2:$E$20,MATCH($F45,Bloques!$A$2:$A$20,0))</f>
        <v>2–3</v>
      </c>
      <c r="L45" s="9" t="str">
        <f aca="false">INDEX(Bloques!$F$2:$F$20,MATCH($F45,Bloques!$A$2:$A$20,0))&amp;"–"&amp;INDEX(Bloques!$G$2:$G$20,MATCH($F45,Bloques!$A$2:$A$20,0))</f>
        <v>85–95</v>
      </c>
      <c r="M45" s="9" t="str">
        <f aca="false">INDEX(Bloques!$J$2:$J$20,MATCH($F45,Bloques!$A$2:$A$20,0))&amp;"–"&amp;INDEX(Bloques!$K$2:$K$20,MATCH($F45,Bloques!$A$2:$A$20,0))</f>
        <v>85–95</v>
      </c>
      <c r="N45" s="7"/>
    </row>
    <row r="46" customFormat="false" ht="15" hidden="false" customHeight="false" outlineLevel="0" collapsed="false">
      <c r="A46" s="8" t="str">
        <f aca="false">B46&amp;" "&amp;C46&amp;"′"</f>
        <v>Progresivo 60′</v>
      </c>
      <c r="B46" s="7" t="s">
        <v>9</v>
      </c>
      <c r="C46" s="7" t="n">
        <v>60</v>
      </c>
      <c r="D46" s="7" t="n">
        <v>2</v>
      </c>
      <c r="E46" s="7" t="s">
        <v>107</v>
      </c>
      <c r="F46" s="7" t="s">
        <v>45</v>
      </c>
      <c r="G46" s="9" t="str">
        <f aca="false">INDEX(Bloques!$B$2:$B$20,MATCH($F46,Bloques!$A$2:$A$20,0))</f>
        <v>Llano</v>
      </c>
      <c r="H46" s="7" t="n">
        <v>10</v>
      </c>
      <c r="I46" s="8" t="n">
        <f aca="false">I45+H45</f>
        <v>8</v>
      </c>
      <c r="J46" s="9" t="str">
        <f aca="false">INDEX(Bloques!$C$2:$C$20,MATCH($F46,Bloques!$A$2:$A$20,0))</f>
        <v>Sentado</v>
      </c>
      <c r="K46" s="9" t="str">
        <f aca="false">INDEX(Bloques!$D$2:$D$20,MATCH($F46,Bloques!$A$2:$A$20,0))&amp;"–"&amp;INDEX(Bloques!$E$2:$E$20,MATCH($F46,Bloques!$A$2:$A$20,0))</f>
        <v>3–4</v>
      </c>
      <c r="L46" s="9" t="str">
        <f aca="false">INDEX(Bloques!$F$2:$F$20,MATCH($F46,Bloques!$A$2:$A$20,0))&amp;"–"&amp;INDEX(Bloques!$G$2:$G$20,MATCH($F46,Bloques!$A$2:$A$20,0))</f>
        <v>90–100</v>
      </c>
      <c r="M46" s="9" t="str">
        <f aca="false">INDEX(Bloques!$J$2:$J$20,MATCH($F46,Bloques!$A$2:$A$20,0))&amp;"–"&amp;INDEX(Bloques!$K$2:$K$20,MATCH($F46,Bloques!$A$2:$A$20,0))</f>
        <v>90–100</v>
      </c>
      <c r="N46" s="7"/>
    </row>
    <row r="47" customFormat="false" ht="15" hidden="false" customHeight="false" outlineLevel="0" collapsed="false">
      <c r="A47" s="8" t="str">
        <f aca="false">B47&amp;" "&amp;C47&amp;"′"</f>
        <v>Progresivo 60′</v>
      </c>
      <c r="B47" s="7" t="s">
        <v>9</v>
      </c>
      <c r="C47" s="7" t="n">
        <v>60</v>
      </c>
      <c r="D47" s="7" t="n">
        <v>3</v>
      </c>
      <c r="E47" s="7" t="s">
        <v>109</v>
      </c>
      <c r="F47" s="7" t="s">
        <v>49</v>
      </c>
      <c r="G47" s="9" t="str">
        <f aca="false">INDEX(Bloques!$B$2:$B$20,MATCH($F47,Bloques!$A$2:$A$20,0))</f>
        <v>Tempo</v>
      </c>
      <c r="H47" s="7" t="n">
        <v>10</v>
      </c>
      <c r="I47" s="8" t="n">
        <f aca="false">I46+H46</f>
        <v>18</v>
      </c>
      <c r="J47" s="9" t="str">
        <f aca="false">INDEX(Bloques!$C$2:$C$20,MATCH($F47,Bloques!$A$2:$A$20,0))</f>
        <v>Sentado</v>
      </c>
      <c r="K47" s="9" t="str">
        <f aca="false">INDEX(Bloques!$D$2:$D$20,MATCH($F47,Bloques!$A$2:$A$20,0))&amp;"–"&amp;INDEX(Bloques!$E$2:$E$20,MATCH($F47,Bloques!$A$2:$A$20,0))</f>
        <v>5–6</v>
      </c>
      <c r="L47" s="9" t="str">
        <f aca="false">INDEX(Bloques!$F$2:$F$20,MATCH($F47,Bloques!$A$2:$A$20,0))&amp;"–"&amp;INDEX(Bloques!$G$2:$G$20,MATCH($F47,Bloques!$A$2:$A$20,0))</f>
        <v>90–100</v>
      </c>
      <c r="M47" s="9" t="str">
        <f aca="false">INDEX(Bloques!$J$2:$J$20,MATCH($F47,Bloques!$A$2:$A$20,0))&amp;"–"&amp;INDEX(Bloques!$K$2:$K$20,MATCH($F47,Bloques!$A$2:$A$20,0))</f>
        <v>90–100</v>
      </c>
      <c r="N47" s="7"/>
    </row>
    <row r="48" customFormat="false" ht="15" hidden="false" customHeight="false" outlineLevel="0" collapsed="false">
      <c r="A48" s="8" t="str">
        <f aca="false">B48&amp;" "&amp;C48&amp;"′"</f>
        <v>Progresivo 60′</v>
      </c>
      <c r="B48" s="7" t="s">
        <v>9</v>
      </c>
      <c r="C48" s="7" t="n">
        <v>60</v>
      </c>
      <c r="D48" s="7" t="n">
        <v>4</v>
      </c>
      <c r="E48" s="7" t="s">
        <v>110</v>
      </c>
      <c r="F48" s="7" t="s">
        <v>57</v>
      </c>
      <c r="G48" s="9" t="str">
        <f aca="false">INDEX(Bloques!$B$2:$B$20,MATCH($F48,Bloques!$A$2:$A$20,0))</f>
        <v>Subida sentado</v>
      </c>
      <c r="H48" s="7" t="n">
        <v>10</v>
      </c>
      <c r="I48" s="8" t="n">
        <f aca="false">I47+H47</f>
        <v>28</v>
      </c>
      <c r="J48" s="9" t="str">
        <f aca="false">INDEX(Bloques!$C$2:$C$20,MATCH($F48,Bloques!$A$2:$A$20,0))</f>
        <v>Sentado</v>
      </c>
      <c r="K48" s="9" t="str">
        <f aca="false">INDEX(Bloques!$D$2:$D$20,MATCH($F48,Bloques!$A$2:$A$20,0))&amp;"–"&amp;INDEX(Bloques!$E$2:$E$20,MATCH($F48,Bloques!$A$2:$A$20,0))</f>
        <v>6–7</v>
      </c>
      <c r="L48" s="9" t="str">
        <f aca="false">INDEX(Bloques!$F$2:$F$20,MATCH($F48,Bloques!$A$2:$A$20,0))&amp;"–"&amp;INDEX(Bloques!$G$2:$G$20,MATCH($F48,Bloques!$A$2:$A$20,0))</f>
        <v>70–80</v>
      </c>
      <c r="M48" s="9" t="str">
        <f aca="false">INDEX(Bloques!$J$2:$J$20,MATCH($F48,Bloques!$A$2:$A$20,0))&amp;"–"&amp;INDEX(Bloques!$K$2:$K$20,MATCH($F48,Bloques!$A$2:$A$20,0))</f>
        <v>140–160</v>
      </c>
      <c r="N48" s="7"/>
    </row>
    <row r="49" customFormat="false" ht="15" hidden="false" customHeight="false" outlineLevel="0" collapsed="false">
      <c r="A49" s="8" t="str">
        <f aca="false">B49&amp;" "&amp;C49&amp;"′"</f>
        <v>Progresivo 60′</v>
      </c>
      <c r="B49" s="7" t="s">
        <v>9</v>
      </c>
      <c r="C49" s="7" t="n">
        <v>60</v>
      </c>
      <c r="D49" s="7" t="n">
        <v>5</v>
      </c>
      <c r="E49" s="7" t="s">
        <v>111</v>
      </c>
      <c r="F49" s="7" t="s">
        <v>61</v>
      </c>
      <c r="G49" s="9" t="str">
        <f aca="false">INDEX(Bloques!$B$2:$B$20,MATCH($F49,Bloques!$A$2:$A$20,0))</f>
        <v>Subida de pie</v>
      </c>
      <c r="H49" s="7" t="n">
        <v>8</v>
      </c>
      <c r="I49" s="8" t="n">
        <f aca="false">I48+H48</f>
        <v>38</v>
      </c>
      <c r="J49" s="9" t="str">
        <f aca="false">INDEX(Bloques!$C$2:$C$20,MATCH($F49,Bloques!$A$2:$A$20,0))</f>
        <v>De pie</v>
      </c>
      <c r="K49" s="9" t="str">
        <f aca="false">INDEX(Bloques!$D$2:$D$20,MATCH($F49,Bloques!$A$2:$A$20,0))&amp;"–"&amp;INDEX(Bloques!$E$2:$E$20,MATCH($F49,Bloques!$A$2:$A$20,0))</f>
        <v>7–8</v>
      </c>
      <c r="L49" s="9" t="str">
        <f aca="false">INDEX(Bloques!$F$2:$F$20,MATCH($F49,Bloques!$A$2:$A$20,0))&amp;"–"&amp;INDEX(Bloques!$G$2:$G$20,MATCH($F49,Bloques!$A$2:$A$20,0))</f>
        <v>60–75</v>
      </c>
      <c r="M49" s="9" t="str">
        <f aca="false">INDEX(Bloques!$J$2:$J$20,MATCH($F49,Bloques!$A$2:$A$20,0))&amp;"–"&amp;INDEX(Bloques!$K$2:$K$20,MATCH($F49,Bloques!$A$2:$A$20,0))</f>
        <v>120–150</v>
      </c>
      <c r="N49" s="7"/>
    </row>
    <row r="50" customFormat="false" ht="15" hidden="false" customHeight="false" outlineLevel="0" collapsed="false">
      <c r="A50" s="8" t="str">
        <f aca="false">B50&amp;" "&amp;C50&amp;"′"</f>
        <v>Progresivo 60′</v>
      </c>
      <c r="B50" s="7" t="s">
        <v>9</v>
      </c>
      <c r="C50" s="7" t="n">
        <v>60</v>
      </c>
      <c r="D50" s="7" t="n">
        <v>6</v>
      </c>
      <c r="E50" s="7" t="s">
        <v>112</v>
      </c>
      <c r="F50" s="7" t="s">
        <v>79</v>
      </c>
      <c r="G50" s="9" t="str">
        <f aca="false">INDEX(Bloques!$B$2:$B$20,MATCH($F50,Bloques!$A$2:$A$20,0))</f>
        <v>Sprint</v>
      </c>
      <c r="H50" s="7" t="n">
        <v>6</v>
      </c>
      <c r="I50" s="8" t="n">
        <f aca="false">I49+H49</f>
        <v>46</v>
      </c>
      <c r="J50" s="9" t="str">
        <f aca="false">INDEX(Bloques!$C$2:$C$20,MATCH($F50,Bloques!$A$2:$A$20,0))</f>
        <v>Sentado</v>
      </c>
      <c r="K50" s="9" t="str">
        <f aca="false">INDEX(Bloques!$D$2:$D$20,MATCH($F50,Bloques!$A$2:$A$20,0))&amp;"–"&amp;INDEX(Bloques!$E$2:$E$20,MATCH($F50,Bloques!$A$2:$A$20,0))</f>
        <v>5–6</v>
      </c>
      <c r="L50" s="9" t="str">
        <f aca="false">INDEX(Bloques!$F$2:$F$20,MATCH($F50,Bloques!$A$2:$A$20,0))&amp;"–"&amp;INDEX(Bloques!$G$2:$G$20,MATCH($F50,Bloques!$A$2:$A$20,0))</f>
        <v>100–120</v>
      </c>
      <c r="M50" s="9" t="str">
        <f aca="false">INDEX(Bloques!$J$2:$J$20,MATCH($F50,Bloques!$A$2:$A$20,0))&amp;"–"&amp;INDEX(Bloques!$K$2:$K$20,MATCH($F50,Bloques!$A$2:$A$20,0))</f>
        <v>100–120</v>
      </c>
      <c r="N50" s="7"/>
    </row>
    <row r="51" customFormat="false" ht="15" hidden="false" customHeight="false" outlineLevel="0" collapsed="false">
      <c r="A51" s="8" t="str">
        <f aca="false">B51&amp;" "&amp;C51&amp;"′"</f>
        <v>Progresivo 60′</v>
      </c>
      <c r="B51" s="7" t="s">
        <v>9</v>
      </c>
      <c r="C51" s="7" t="n">
        <v>60</v>
      </c>
      <c r="D51" s="7" t="n">
        <v>7</v>
      </c>
      <c r="E51" s="7" t="s">
        <v>102</v>
      </c>
      <c r="F51" s="7" t="s">
        <v>85</v>
      </c>
      <c r="G51" s="9" t="str">
        <f aca="false">INDEX(Bloques!$B$2:$B$20,MATCH($F51,Bloques!$A$2:$A$20,0))</f>
        <v>Vuelta a la calma</v>
      </c>
      <c r="H51" s="7" t="n">
        <v>8</v>
      </c>
      <c r="I51" s="8" t="n">
        <f aca="false">I50+H50</f>
        <v>52</v>
      </c>
      <c r="J51" s="9" t="str">
        <f aca="false">INDEX(Bloques!$C$2:$C$20,MATCH($F51,Bloques!$A$2:$A$20,0))</f>
        <v>Sentado</v>
      </c>
      <c r="K51" s="9" t="str">
        <f aca="false">INDEX(Bloques!$D$2:$D$20,MATCH($F51,Bloques!$A$2:$A$20,0))&amp;"–"&amp;INDEX(Bloques!$E$2:$E$20,MATCH($F51,Bloques!$A$2:$A$20,0))</f>
        <v>1–2</v>
      </c>
      <c r="L51" s="9" t="str">
        <f aca="false">INDEX(Bloques!$F$2:$F$20,MATCH($F51,Bloques!$A$2:$A$20,0))&amp;"–"&amp;INDEX(Bloques!$G$2:$G$20,MATCH($F51,Bloques!$A$2:$A$20,0))</f>
        <v>70–90</v>
      </c>
      <c r="M51" s="9" t="str">
        <f aca="false">INDEX(Bloques!$J$2:$J$20,MATCH($F51,Bloques!$A$2:$A$20,0))&amp;"–"&amp;INDEX(Bloques!$K$2:$K$20,MATCH($F51,Bloques!$A$2:$A$20,0))</f>
        <v>70–90</v>
      </c>
      <c r="N51" s="7"/>
    </row>
    <row r="52" customFormat="false" ht="15" hidden="false" customHeight="false" outlineLevel="0" collapsed="false">
      <c r="A52" s="8" t="str">
        <f aca="false">B52&amp;" "&amp;C52&amp;"′"</f>
        <v>HIIT 15′</v>
      </c>
      <c r="B52" s="7" t="s">
        <v>10</v>
      </c>
      <c r="C52" s="7" t="n">
        <v>15</v>
      </c>
      <c r="D52" s="7" t="n">
        <v>1</v>
      </c>
      <c r="E52" s="7" t="s">
        <v>40</v>
      </c>
      <c r="F52" s="7" t="s">
        <v>39</v>
      </c>
      <c r="G52" s="9" t="str">
        <f aca="false">INDEX(Bloques!$B$2:$B$20,MATCH($F52,Bloques!$A$2:$A$20,0))</f>
        <v>Calentamiento</v>
      </c>
      <c r="H52" s="7" t="n">
        <v>3</v>
      </c>
      <c r="I52" s="8" t="n">
        <v>0</v>
      </c>
      <c r="J52" s="9" t="str">
        <f aca="false">INDEX(Bloques!$C$2:$C$20,MATCH($F52,Bloques!$A$2:$A$20,0))</f>
        <v>Sentado</v>
      </c>
      <c r="K52" s="9" t="str">
        <f aca="false">INDEX(Bloques!$D$2:$D$20,MATCH($F52,Bloques!$A$2:$A$20,0))&amp;"–"&amp;INDEX(Bloques!$E$2:$E$20,MATCH($F52,Bloques!$A$2:$A$20,0))</f>
        <v>2–3</v>
      </c>
      <c r="L52" s="9" t="str">
        <f aca="false">INDEX(Bloques!$F$2:$F$20,MATCH($F52,Bloques!$A$2:$A$20,0))&amp;"–"&amp;INDEX(Bloques!$G$2:$G$20,MATCH($F52,Bloques!$A$2:$A$20,0))</f>
        <v>85–95</v>
      </c>
      <c r="M52" s="9" t="str">
        <f aca="false">INDEX(Bloques!$J$2:$J$20,MATCH($F52,Bloques!$A$2:$A$20,0))&amp;"–"&amp;INDEX(Bloques!$K$2:$K$20,MATCH($F52,Bloques!$A$2:$A$20,0))</f>
        <v>85–95</v>
      </c>
      <c r="N52" s="7"/>
    </row>
    <row r="53" customFormat="false" ht="15" hidden="false" customHeight="false" outlineLevel="0" collapsed="false">
      <c r="A53" s="8" t="str">
        <f aca="false">B53&amp;" "&amp;C53&amp;"′"</f>
        <v>HIIT 15′</v>
      </c>
      <c r="B53" s="7" t="s">
        <v>10</v>
      </c>
      <c r="C53" s="7" t="n">
        <v>15</v>
      </c>
      <c r="D53" s="7" t="n">
        <v>2</v>
      </c>
      <c r="E53" s="7" t="s">
        <v>113</v>
      </c>
      <c r="F53" s="7" t="s">
        <v>76</v>
      </c>
      <c r="G53" s="9" t="str">
        <f aca="false">INDEX(Bloques!$B$2:$B$20,MATCH($F53,Bloques!$A$2:$A$20,0))</f>
        <v>Intervalos 20/10 (Tabata)</v>
      </c>
      <c r="H53" s="7" t="n">
        <v>3</v>
      </c>
      <c r="I53" s="8" t="n">
        <f aca="false">I52+H52</f>
        <v>3</v>
      </c>
      <c r="J53" s="9" t="str">
        <f aca="false">INDEX(Bloques!$C$2:$C$20,MATCH($F53,Bloques!$A$2:$A$20,0))</f>
        <v>Sentado / de pie</v>
      </c>
      <c r="K53" s="9" t="str">
        <f aca="false">INDEX(Bloques!$D$2:$D$20,MATCH($F53,Bloques!$A$2:$A$20,0))&amp;"–"&amp;INDEX(Bloques!$E$2:$E$20,MATCH($F53,Bloques!$A$2:$A$20,0))</f>
        <v>7–9</v>
      </c>
      <c r="L53" s="9" t="str">
        <f aca="false">INDEX(Bloques!$F$2:$F$20,MATCH($F53,Bloques!$A$2:$A$20,0))&amp;"–"&amp;INDEX(Bloques!$G$2:$G$20,MATCH($F53,Bloques!$A$2:$A$20,0))</f>
        <v>105–120</v>
      </c>
      <c r="M53" s="9" t="str">
        <f aca="false">INDEX(Bloques!$J$2:$J$20,MATCH($F53,Bloques!$A$2:$A$20,0))&amp;"–"&amp;INDEX(Bloques!$K$2:$K$20,MATCH($F53,Bloques!$A$2:$A$20,0))</f>
        <v>105–120</v>
      </c>
      <c r="N53" s="7" t="s">
        <v>114</v>
      </c>
    </row>
    <row r="54" customFormat="false" ht="15" hidden="false" customHeight="false" outlineLevel="0" collapsed="false">
      <c r="A54" s="8" t="str">
        <f aca="false">B54&amp;" "&amp;C54&amp;"′"</f>
        <v>HIIT 15′</v>
      </c>
      <c r="B54" s="7" t="s">
        <v>10</v>
      </c>
      <c r="C54" s="7" t="n">
        <v>15</v>
      </c>
      <c r="D54" s="7" t="n">
        <v>3</v>
      </c>
      <c r="E54" s="7" t="s">
        <v>113</v>
      </c>
      <c r="F54" s="7" t="s">
        <v>82</v>
      </c>
      <c r="G54" s="9" t="str">
        <f aca="false">INDEX(Bloques!$B$2:$B$20,MATCH($F54,Bloques!$A$2:$A$20,0))</f>
        <v>Recuperación</v>
      </c>
      <c r="H54" s="7" t="n">
        <v>3</v>
      </c>
      <c r="I54" s="8" t="n">
        <f aca="false">I53+H53</f>
        <v>6</v>
      </c>
      <c r="J54" s="9" t="str">
        <f aca="false">INDEX(Bloques!$C$2:$C$20,MATCH($F54,Bloques!$A$2:$A$20,0))</f>
        <v>Sentado</v>
      </c>
      <c r="K54" s="9" t="str">
        <f aca="false">INDEX(Bloques!$D$2:$D$20,MATCH($F54,Bloques!$A$2:$A$20,0))&amp;"–"&amp;INDEX(Bloques!$E$2:$E$20,MATCH($F54,Bloques!$A$2:$A$20,0))</f>
        <v>2–3</v>
      </c>
      <c r="L54" s="9" t="str">
        <f aca="false">INDEX(Bloques!$F$2:$F$20,MATCH($F54,Bloques!$A$2:$A$20,0))&amp;"–"&amp;INDEX(Bloques!$G$2:$G$20,MATCH($F54,Bloques!$A$2:$A$20,0))</f>
        <v>80–90</v>
      </c>
      <c r="M54" s="9" t="str">
        <f aca="false">INDEX(Bloques!$J$2:$J$20,MATCH($F54,Bloques!$A$2:$A$20,0))&amp;"–"&amp;INDEX(Bloques!$K$2:$K$20,MATCH($F54,Bloques!$A$2:$A$20,0))</f>
        <v>80–90</v>
      </c>
      <c r="N54" s="7"/>
    </row>
    <row r="55" customFormat="false" ht="15" hidden="false" customHeight="false" outlineLevel="0" collapsed="false">
      <c r="A55" s="8" t="str">
        <f aca="false">B55&amp;" "&amp;C55&amp;"′"</f>
        <v>HIIT 15′</v>
      </c>
      <c r="B55" s="7" t="s">
        <v>10</v>
      </c>
      <c r="C55" s="7" t="n">
        <v>15</v>
      </c>
      <c r="D55" s="7" t="n">
        <v>4</v>
      </c>
      <c r="E55" s="7" t="s">
        <v>115</v>
      </c>
      <c r="F55" s="7" t="s">
        <v>76</v>
      </c>
      <c r="G55" s="9" t="str">
        <f aca="false">INDEX(Bloques!$B$2:$B$20,MATCH($F55,Bloques!$A$2:$A$20,0))</f>
        <v>Intervalos 20/10 (Tabata)</v>
      </c>
      <c r="H55" s="7" t="n">
        <v>3</v>
      </c>
      <c r="I55" s="8" t="n">
        <f aca="false">I54+H54</f>
        <v>9</v>
      </c>
      <c r="J55" s="9" t="str">
        <f aca="false">INDEX(Bloques!$C$2:$C$20,MATCH($F55,Bloques!$A$2:$A$20,0))</f>
        <v>Sentado / de pie</v>
      </c>
      <c r="K55" s="9" t="str">
        <f aca="false">INDEX(Bloques!$D$2:$D$20,MATCH($F55,Bloques!$A$2:$A$20,0))&amp;"–"&amp;INDEX(Bloques!$E$2:$E$20,MATCH($F55,Bloques!$A$2:$A$20,0))</f>
        <v>7–9</v>
      </c>
      <c r="L55" s="9" t="str">
        <f aca="false">INDEX(Bloques!$F$2:$F$20,MATCH($F55,Bloques!$A$2:$A$20,0))&amp;"–"&amp;INDEX(Bloques!$G$2:$G$20,MATCH($F55,Bloques!$A$2:$A$20,0))</f>
        <v>105–120</v>
      </c>
      <c r="M55" s="9" t="str">
        <f aca="false">INDEX(Bloques!$J$2:$J$20,MATCH($F55,Bloques!$A$2:$A$20,0))&amp;"–"&amp;INDEX(Bloques!$K$2:$K$20,MATCH($F55,Bloques!$A$2:$A$20,0))</f>
        <v>105–120</v>
      </c>
      <c r="N55" s="7"/>
    </row>
    <row r="56" customFormat="false" ht="15" hidden="false" customHeight="false" outlineLevel="0" collapsed="false">
      <c r="A56" s="8" t="str">
        <f aca="false">B56&amp;" "&amp;C56&amp;"′"</f>
        <v>HIIT 15′</v>
      </c>
      <c r="B56" s="7" t="s">
        <v>10</v>
      </c>
      <c r="C56" s="7" t="n">
        <v>15</v>
      </c>
      <c r="D56" s="7" t="n">
        <v>5</v>
      </c>
      <c r="E56" s="7" t="s">
        <v>102</v>
      </c>
      <c r="F56" s="7" t="s">
        <v>85</v>
      </c>
      <c r="G56" s="9" t="str">
        <f aca="false">INDEX(Bloques!$B$2:$B$20,MATCH($F56,Bloques!$A$2:$A$20,0))</f>
        <v>Vuelta a la calma</v>
      </c>
      <c r="H56" s="7" t="n">
        <v>3</v>
      </c>
      <c r="I56" s="8" t="n">
        <f aca="false">I55+H55</f>
        <v>12</v>
      </c>
      <c r="J56" s="9" t="str">
        <f aca="false">INDEX(Bloques!$C$2:$C$20,MATCH($F56,Bloques!$A$2:$A$20,0))</f>
        <v>Sentado</v>
      </c>
      <c r="K56" s="9" t="str">
        <f aca="false">INDEX(Bloques!$D$2:$D$20,MATCH($F56,Bloques!$A$2:$A$20,0))&amp;"–"&amp;INDEX(Bloques!$E$2:$E$20,MATCH($F56,Bloques!$A$2:$A$20,0))</f>
        <v>1–2</v>
      </c>
      <c r="L56" s="9" t="str">
        <f aca="false">INDEX(Bloques!$F$2:$F$20,MATCH($F56,Bloques!$A$2:$A$20,0))&amp;"–"&amp;INDEX(Bloques!$G$2:$G$20,MATCH($F56,Bloques!$A$2:$A$20,0))</f>
        <v>70–90</v>
      </c>
      <c r="M56" s="9" t="str">
        <f aca="false">INDEX(Bloques!$J$2:$J$20,MATCH($F56,Bloques!$A$2:$A$20,0))&amp;"–"&amp;INDEX(Bloques!$K$2:$K$20,MATCH($F56,Bloques!$A$2:$A$20,0))</f>
        <v>70–90</v>
      </c>
      <c r="N56" s="7"/>
    </row>
    <row r="57" customFormat="false" ht="15" hidden="false" customHeight="false" outlineLevel="0" collapsed="false">
      <c r="A57" s="8" t="str">
        <f aca="false">B57&amp;" "&amp;C57&amp;"′"</f>
        <v>HIIT 30′</v>
      </c>
      <c r="B57" s="7" t="s">
        <v>10</v>
      </c>
      <c r="C57" s="7" t="n">
        <v>30</v>
      </c>
      <c r="D57" s="7" t="n">
        <v>1</v>
      </c>
      <c r="E57" s="7" t="s">
        <v>40</v>
      </c>
      <c r="F57" s="7" t="s">
        <v>39</v>
      </c>
      <c r="G57" s="9" t="str">
        <f aca="false">INDEX(Bloques!$B$2:$B$20,MATCH($F57,Bloques!$A$2:$A$20,0))</f>
        <v>Calentamiento</v>
      </c>
      <c r="H57" s="7" t="n">
        <v>6</v>
      </c>
      <c r="I57" s="8" t="n">
        <v>0</v>
      </c>
      <c r="J57" s="9" t="str">
        <f aca="false">INDEX(Bloques!$C$2:$C$20,MATCH($F57,Bloques!$A$2:$A$20,0))</f>
        <v>Sentado</v>
      </c>
      <c r="K57" s="9" t="str">
        <f aca="false">INDEX(Bloques!$D$2:$D$20,MATCH($F57,Bloques!$A$2:$A$20,0))&amp;"–"&amp;INDEX(Bloques!$E$2:$E$20,MATCH($F57,Bloques!$A$2:$A$20,0))</f>
        <v>2–3</v>
      </c>
      <c r="L57" s="9" t="str">
        <f aca="false">INDEX(Bloques!$F$2:$F$20,MATCH($F57,Bloques!$A$2:$A$20,0))&amp;"–"&amp;INDEX(Bloques!$G$2:$G$20,MATCH($F57,Bloques!$A$2:$A$20,0))</f>
        <v>85–95</v>
      </c>
      <c r="M57" s="9" t="str">
        <f aca="false">INDEX(Bloques!$J$2:$J$20,MATCH($F57,Bloques!$A$2:$A$20,0))&amp;"–"&amp;INDEX(Bloques!$K$2:$K$20,MATCH($F57,Bloques!$A$2:$A$20,0))</f>
        <v>85–95</v>
      </c>
      <c r="N57" s="7"/>
    </row>
    <row r="58" customFormat="false" ht="15" hidden="false" customHeight="false" outlineLevel="0" collapsed="false">
      <c r="A58" s="8" t="str">
        <f aca="false">B58&amp;" "&amp;C58&amp;"′"</f>
        <v>HIIT 30′</v>
      </c>
      <c r="B58" s="7" t="s">
        <v>10</v>
      </c>
      <c r="C58" s="7" t="n">
        <v>30</v>
      </c>
      <c r="D58" s="7" t="n">
        <v>2</v>
      </c>
      <c r="E58" s="7" t="s">
        <v>116</v>
      </c>
      <c r="F58" s="7" t="s">
        <v>49</v>
      </c>
      <c r="G58" s="9" t="str">
        <f aca="false">INDEX(Bloques!$B$2:$B$20,MATCH($F58,Bloques!$A$2:$A$20,0))</f>
        <v>Tempo</v>
      </c>
      <c r="H58" s="7" t="n">
        <v>4</v>
      </c>
      <c r="I58" s="8" t="n">
        <f aca="false">I57+H57</f>
        <v>6</v>
      </c>
      <c r="J58" s="9" t="str">
        <f aca="false">INDEX(Bloques!$C$2:$C$20,MATCH($F58,Bloques!$A$2:$A$20,0))</f>
        <v>Sentado</v>
      </c>
      <c r="K58" s="9" t="str">
        <f aca="false">INDEX(Bloques!$D$2:$D$20,MATCH($F58,Bloques!$A$2:$A$20,0))&amp;"–"&amp;INDEX(Bloques!$E$2:$E$20,MATCH($F58,Bloques!$A$2:$A$20,0))</f>
        <v>5–6</v>
      </c>
      <c r="L58" s="9" t="str">
        <f aca="false">INDEX(Bloques!$F$2:$F$20,MATCH($F58,Bloques!$A$2:$A$20,0))&amp;"–"&amp;INDEX(Bloques!$G$2:$G$20,MATCH($F58,Bloques!$A$2:$A$20,0))</f>
        <v>90–100</v>
      </c>
      <c r="M58" s="9" t="str">
        <f aca="false">INDEX(Bloques!$J$2:$J$20,MATCH($F58,Bloques!$A$2:$A$20,0))&amp;"–"&amp;INDEX(Bloques!$K$2:$K$20,MATCH($F58,Bloques!$A$2:$A$20,0))</f>
        <v>90–100</v>
      </c>
      <c r="N58" s="7"/>
    </row>
    <row r="59" customFormat="false" ht="15" hidden="false" customHeight="false" outlineLevel="0" collapsed="false">
      <c r="A59" s="8" t="str">
        <f aca="false">B59&amp;" "&amp;C59&amp;"′"</f>
        <v>HIIT 30′</v>
      </c>
      <c r="B59" s="7" t="s">
        <v>10</v>
      </c>
      <c r="C59" s="7" t="n">
        <v>30</v>
      </c>
      <c r="D59" s="7" t="n">
        <v>3</v>
      </c>
      <c r="E59" s="7" t="s">
        <v>113</v>
      </c>
      <c r="F59" s="7" t="s">
        <v>73</v>
      </c>
      <c r="G59" s="9" t="str">
        <f aca="false">INDEX(Bloques!$B$2:$B$20,MATCH($F59,Bloques!$A$2:$A$20,0))</f>
        <v>Intervalos 40/20</v>
      </c>
      <c r="H59" s="7" t="n">
        <v>4</v>
      </c>
      <c r="I59" s="8" t="n">
        <f aca="false">I58+H58</f>
        <v>10</v>
      </c>
      <c r="J59" s="9" t="str">
        <f aca="false">INDEX(Bloques!$C$2:$C$20,MATCH($F59,Bloques!$A$2:$A$20,0))</f>
        <v>Sentado / de pie</v>
      </c>
      <c r="K59" s="9" t="str">
        <f aca="false">INDEX(Bloques!$D$2:$D$20,MATCH($F59,Bloques!$A$2:$A$20,0))&amp;"–"&amp;INDEX(Bloques!$E$2:$E$20,MATCH($F59,Bloques!$A$2:$A$20,0))</f>
        <v>6–8</v>
      </c>
      <c r="L59" s="9" t="str">
        <f aca="false">INDEX(Bloques!$F$2:$F$20,MATCH($F59,Bloques!$A$2:$A$20,0))&amp;"–"&amp;INDEX(Bloques!$G$2:$G$20,MATCH($F59,Bloques!$A$2:$A$20,0))</f>
        <v>100–115</v>
      </c>
      <c r="M59" s="9" t="str">
        <f aca="false">INDEX(Bloques!$J$2:$J$20,MATCH($F59,Bloques!$A$2:$A$20,0))&amp;"–"&amp;INDEX(Bloques!$K$2:$K$20,MATCH($F59,Bloques!$A$2:$A$20,0))</f>
        <v>100–115</v>
      </c>
      <c r="N59" s="7" t="s">
        <v>117</v>
      </c>
    </row>
    <row r="60" customFormat="false" ht="15" hidden="false" customHeight="false" outlineLevel="0" collapsed="false">
      <c r="A60" s="8" t="str">
        <f aca="false">B60&amp;" "&amp;C60&amp;"′"</f>
        <v>HIIT 30′</v>
      </c>
      <c r="B60" s="7" t="s">
        <v>10</v>
      </c>
      <c r="C60" s="7" t="n">
        <v>30</v>
      </c>
      <c r="D60" s="7" t="n">
        <v>4</v>
      </c>
      <c r="E60" s="7" t="s">
        <v>113</v>
      </c>
      <c r="F60" s="7" t="s">
        <v>82</v>
      </c>
      <c r="G60" s="9" t="str">
        <f aca="false">INDEX(Bloques!$B$2:$B$20,MATCH($F60,Bloques!$A$2:$A$20,0))</f>
        <v>Recuperación</v>
      </c>
      <c r="H60" s="7" t="n">
        <v>3</v>
      </c>
      <c r="I60" s="8" t="n">
        <f aca="false">I59+H59</f>
        <v>14</v>
      </c>
      <c r="J60" s="9" t="str">
        <f aca="false">INDEX(Bloques!$C$2:$C$20,MATCH($F60,Bloques!$A$2:$A$20,0))</f>
        <v>Sentado</v>
      </c>
      <c r="K60" s="9" t="str">
        <f aca="false">INDEX(Bloques!$D$2:$D$20,MATCH($F60,Bloques!$A$2:$A$20,0))&amp;"–"&amp;INDEX(Bloques!$E$2:$E$20,MATCH($F60,Bloques!$A$2:$A$20,0))</f>
        <v>2–3</v>
      </c>
      <c r="L60" s="9" t="str">
        <f aca="false">INDEX(Bloques!$F$2:$F$20,MATCH($F60,Bloques!$A$2:$A$20,0))&amp;"–"&amp;INDEX(Bloques!$G$2:$G$20,MATCH($F60,Bloques!$A$2:$A$20,0))</f>
        <v>80–90</v>
      </c>
      <c r="M60" s="9" t="str">
        <f aca="false">INDEX(Bloques!$J$2:$J$20,MATCH($F60,Bloques!$A$2:$A$20,0))&amp;"–"&amp;INDEX(Bloques!$K$2:$K$20,MATCH($F60,Bloques!$A$2:$A$20,0))</f>
        <v>80–90</v>
      </c>
      <c r="N60" s="7"/>
    </row>
    <row r="61" customFormat="false" ht="15" hidden="false" customHeight="false" outlineLevel="0" collapsed="false">
      <c r="A61" s="8" t="str">
        <f aca="false">B61&amp;" "&amp;C61&amp;"′"</f>
        <v>HIIT 30′</v>
      </c>
      <c r="B61" s="7" t="s">
        <v>10</v>
      </c>
      <c r="C61" s="7" t="n">
        <v>30</v>
      </c>
      <c r="D61" s="7" t="n">
        <v>5</v>
      </c>
      <c r="E61" s="7" t="s">
        <v>115</v>
      </c>
      <c r="F61" s="7" t="s">
        <v>76</v>
      </c>
      <c r="G61" s="9" t="str">
        <f aca="false">INDEX(Bloques!$B$2:$B$20,MATCH($F61,Bloques!$A$2:$A$20,0))</f>
        <v>Intervalos 20/10 (Tabata)</v>
      </c>
      <c r="H61" s="7" t="n">
        <v>4</v>
      </c>
      <c r="I61" s="8" t="n">
        <f aca="false">I60+H60</f>
        <v>17</v>
      </c>
      <c r="J61" s="9" t="str">
        <f aca="false">INDEX(Bloques!$C$2:$C$20,MATCH($F61,Bloques!$A$2:$A$20,0))</f>
        <v>Sentado / de pie</v>
      </c>
      <c r="K61" s="9" t="str">
        <f aca="false">INDEX(Bloques!$D$2:$D$20,MATCH($F61,Bloques!$A$2:$A$20,0))&amp;"–"&amp;INDEX(Bloques!$E$2:$E$20,MATCH($F61,Bloques!$A$2:$A$20,0))</f>
        <v>7–9</v>
      </c>
      <c r="L61" s="9" t="str">
        <f aca="false">INDEX(Bloques!$F$2:$F$20,MATCH($F61,Bloques!$A$2:$A$20,0))&amp;"–"&amp;INDEX(Bloques!$G$2:$G$20,MATCH($F61,Bloques!$A$2:$A$20,0))</f>
        <v>105–120</v>
      </c>
      <c r="M61" s="9" t="str">
        <f aca="false">INDEX(Bloques!$J$2:$J$20,MATCH($F61,Bloques!$A$2:$A$20,0))&amp;"–"&amp;INDEX(Bloques!$K$2:$K$20,MATCH($F61,Bloques!$A$2:$A$20,0))</f>
        <v>105–120</v>
      </c>
      <c r="N61" s="7"/>
    </row>
    <row r="62" customFormat="false" ht="15" hidden="false" customHeight="false" outlineLevel="0" collapsed="false">
      <c r="A62" s="8" t="str">
        <f aca="false">B62&amp;" "&amp;C62&amp;"′"</f>
        <v>HIIT 30′</v>
      </c>
      <c r="B62" s="7" t="s">
        <v>10</v>
      </c>
      <c r="C62" s="7" t="n">
        <v>30</v>
      </c>
      <c r="D62" s="7" t="n">
        <v>6</v>
      </c>
      <c r="E62" s="7" t="s">
        <v>115</v>
      </c>
      <c r="F62" s="7" t="s">
        <v>82</v>
      </c>
      <c r="G62" s="9" t="str">
        <f aca="false">INDEX(Bloques!$B$2:$B$20,MATCH($F62,Bloques!$A$2:$A$20,0))</f>
        <v>Recuperación</v>
      </c>
      <c r="H62" s="7" t="n">
        <v>3</v>
      </c>
      <c r="I62" s="8" t="n">
        <f aca="false">I61+H61</f>
        <v>21</v>
      </c>
      <c r="J62" s="9" t="str">
        <f aca="false">INDEX(Bloques!$C$2:$C$20,MATCH($F62,Bloques!$A$2:$A$20,0))</f>
        <v>Sentado</v>
      </c>
      <c r="K62" s="9" t="str">
        <f aca="false">INDEX(Bloques!$D$2:$D$20,MATCH($F62,Bloques!$A$2:$A$20,0))&amp;"–"&amp;INDEX(Bloques!$E$2:$E$20,MATCH($F62,Bloques!$A$2:$A$20,0))</f>
        <v>2–3</v>
      </c>
      <c r="L62" s="9" t="str">
        <f aca="false">INDEX(Bloques!$F$2:$F$20,MATCH($F62,Bloques!$A$2:$A$20,0))&amp;"–"&amp;INDEX(Bloques!$G$2:$G$20,MATCH($F62,Bloques!$A$2:$A$20,0))</f>
        <v>80–90</v>
      </c>
      <c r="M62" s="9" t="str">
        <f aca="false">INDEX(Bloques!$J$2:$J$20,MATCH($F62,Bloques!$A$2:$A$20,0))&amp;"–"&amp;INDEX(Bloques!$K$2:$K$20,MATCH($F62,Bloques!$A$2:$A$20,0))</f>
        <v>80–90</v>
      </c>
      <c r="N62" s="7"/>
    </row>
    <row r="63" customFormat="false" ht="15" hidden="false" customHeight="false" outlineLevel="0" collapsed="false">
      <c r="A63" s="8" t="str">
        <f aca="false">B63&amp;" "&amp;C63&amp;"′"</f>
        <v>HIIT 30′</v>
      </c>
      <c r="B63" s="7" t="s">
        <v>10</v>
      </c>
      <c r="C63" s="7" t="n">
        <v>30</v>
      </c>
      <c r="D63" s="7" t="n">
        <v>7</v>
      </c>
      <c r="E63" s="7" t="s">
        <v>102</v>
      </c>
      <c r="F63" s="7" t="s">
        <v>85</v>
      </c>
      <c r="G63" s="9" t="str">
        <f aca="false">INDEX(Bloques!$B$2:$B$20,MATCH($F63,Bloques!$A$2:$A$20,0))</f>
        <v>Vuelta a la calma</v>
      </c>
      <c r="H63" s="7" t="n">
        <v>6</v>
      </c>
      <c r="I63" s="8" t="n">
        <f aca="false">I62+H62</f>
        <v>24</v>
      </c>
      <c r="J63" s="9" t="str">
        <f aca="false">INDEX(Bloques!$C$2:$C$20,MATCH($F63,Bloques!$A$2:$A$20,0))</f>
        <v>Sentado</v>
      </c>
      <c r="K63" s="9" t="str">
        <f aca="false">INDEX(Bloques!$D$2:$D$20,MATCH($F63,Bloques!$A$2:$A$20,0))&amp;"–"&amp;INDEX(Bloques!$E$2:$E$20,MATCH($F63,Bloques!$A$2:$A$20,0))</f>
        <v>1–2</v>
      </c>
      <c r="L63" s="9" t="str">
        <f aca="false">INDEX(Bloques!$F$2:$F$20,MATCH($F63,Bloques!$A$2:$A$20,0))&amp;"–"&amp;INDEX(Bloques!$G$2:$G$20,MATCH($F63,Bloques!$A$2:$A$20,0))</f>
        <v>70–90</v>
      </c>
      <c r="M63" s="9" t="str">
        <f aca="false">INDEX(Bloques!$J$2:$J$20,MATCH($F63,Bloques!$A$2:$A$20,0))&amp;"–"&amp;INDEX(Bloques!$K$2:$K$20,MATCH($F63,Bloques!$A$2:$A$20,0))</f>
        <v>70–90</v>
      </c>
      <c r="N63" s="7"/>
    </row>
    <row r="64" customFormat="false" ht="15" hidden="false" customHeight="false" outlineLevel="0" collapsed="false">
      <c r="A64" s="8" t="str">
        <f aca="false">B64&amp;" "&amp;C64&amp;"′"</f>
        <v>HIIT 45′</v>
      </c>
      <c r="B64" s="7" t="s">
        <v>10</v>
      </c>
      <c r="C64" s="7" t="n">
        <v>45</v>
      </c>
      <c r="D64" s="7" t="n">
        <v>1</v>
      </c>
      <c r="E64" s="7" t="s">
        <v>40</v>
      </c>
      <c r="F64" s="7" t="s">
        <v>39</v>
      </c>
      <c r="G64" s="9" t="str">
        <f aca="false">INDEX(Bloques!$B$2:$B$20,MATCH($F64,Bloques!$A$2:$A$20,0))</f>
        <v>Calentamiento</v>
      </c>
      <c r="H64" s="7" t="n">
        <v>8</v>
      </c>
      <c r="I64" s="8" t="n">
        <v>0</v>
      </c>
      <c r="J64" s="9" t="str">
        <f aca="false">INDEX(Bloques!$C$2:$C$20,MATCH($F64,Bloques!$A$2:$A$20,0))</f>
        <v>Sentado</v>
      </c>
      <c r="K64" s="9" t="str">
        <f aca="false">INDEX(Bloques!$D$2:$D$20,MATCH($F64,Bloques!$A$2:$A$20,0))&amp;"–"&amp;INDEX(Bloques!$E$2:$E$20,MATCH($F64,Bloques!$A$2:$A$20,0))</f>
        <v>2–3</v>
      </c>
      <c r="L64" s="9" t="str">
        <f aca="false">INDEX(Bloques!$F$2:$F$20,MATCH($F64,Bloques!$A$2:$A$20,0))&amp;"–"&amp;INDEX(Bloques!$G$2:$G$20,MATCH($F64,Bloques!$A$2:$A$20,0))</f>
        <v>85–95</v>
      </c>
      <c r="M64" s="9" t="str">
        <f aca="false">INDEX(Bloques!$J$2:$J$20,MATCH($F64,Bloques!$A$2:$A$20,0))&amp;"–"&amp;INDEX(Bloques!$K$2:$K$20,MATCH($F64,Bloques!$A$2:$A$20,0))</f>
        <v>85–95</v>
      </c>
      <c r="N64" s="7"/>
    </row>
    <row r="65" customFormat="false" ht="15" hidden="false" customHeight="false" outlineLevel="0" collapsed="false">
      <c r="A65" s="8" t="str">
        <f aca="false">B65&amp;" "&amp;C65&amp;"′"</f>
        <v>HIIT 45′</v>
      </c>
      <c r="B65" s="7" t="s">
        <v>10</v>
      </c>
      <c r="C65" s="7" t="n">
        <v>45</v>
      </c>
      <c r="D65" s="7" t="n">
        <v>2</v>
      </c>
      <c r="E65" s="7" t="s">
        <v>116</v>
      </c>
      <c r="F65" s="7" t="s">
        <v>45</v>
      </c>
      <c r="G65" s="9" t="str">
        <f aca="false">INDEX(Bloques!$B$2:$B$20,MATCH($F65,Bloques!$A$2:$A$20,0))</f>
        <v>Llano</v>
      </c>
      <c r="H65" s="7" t="n">
        <v>4</v>
      </c>
      <c r="I65" s="8" t="n">
        <f aca="false">I64+H64</f>
        <v>8</v>
      </c>
      <c r="J65" s="9" t="str">
        <f aca="false">INDEX(Bloques!$C$2:$C$20,MATCH($F65,Bloques!$A$2:$A$20,0))</f>
        <v>Sentado</v>
      </c>
      <c r="K65" s="9" t="str">
        <f aca="false">INDEX(Bloques!$D$2:$D$20,MATCH($F65,Bloques!$A$2:$A$20,0))&amp;"–"&amp;INDEX(Bloques!$E$2:$E$20,MATCH($F65,Bloques!$A$2:$A$20,0))</f>
        <v>3–4</v>
      </c>
      <c r="L65" s="9" t="str">
        <f aca="false">INDEX(Bloques!$F$2:$F$20,MATCH($F65,Bloques!$A$2:$A$20,0))&amp;"–"&amp;INDEX(Bloques!$G$2:$G$20,MATCH($F65,Bloques!$A$2:$A$20,0))</f>
        <v>90–100</v>
      </c>
      <c r="M65" s="9" t="str">
        <f aca="false">INDEX(Bloques!$J$2:$J$20,MATCH($F65,Bloques!$A$2:$A$20,0))&amp;"–"&amp;INDEX(Bloques!$K$2:$K$20,MATCH($F65,Bloques!$A$2:$A$20,0))</f>
        <v>90–100</v>
      </c>
      <c r="N65" s="7"/>
    </row>
    <row r="66" customFormat="false" ht="15" hidden="false" customHeight="false" outlineLevel="0" collapsed="false">
      <c r="A66" s="8" t="str">
        <f aca="false">B66&amp;" "&amp;C66&amp;"′"</f>
        <v>HIIT 45′</v>
      </c>
      <c r="B66" s="7" t="s">
        <v>10</v>
      </c>
      <c r="C66" s="7" t="n">
        <v>45</v>
      </c>
      <c r="D66" s="7" t="n">
        <v>3</v>
      </c>
      <c r="E66" s="7" t="s">
        <v>116</v>
      </c>
      <c r="F66" s="7" t="s">
        <v>49</v>
      </c>
      <c r="G66" s="9" t="str">
        <f aca="false">INDEX(Bloques!$B$2:$B$20,MATCH($F66,Bloques!$A$2:$A$20,0))</f>
        <v>Tempo</v>
      </c>
      <c r="H66" s="7" t="n">
        <v>4</v>
      </c>
      <c r="I66" s="8" t="n">
        <f aca="false">I65+H65</f>
        <v>12</v>
      </c>
      <c r="J66" s="9" t="str">
        <f aca="false">INDEX(Bloques!$C$2:$C$20,MATCH($F66,Bloques!$A$2:$A$20,0))</f>
        <v>Sentado</v>
      </c>
      <c r="K66" s="9" t="str">
        <f aca="false">INDEX(Bloques!$D$2:$D$20,MATCH($F66,Bloques!$A$2:$A$20,0))&amp;"–"&amp;INDEX(Bloques!$E$2:$E$20,MATCH($F66,Bloques!$A$2:$A$20,0))</f>
        <v>5–6</v>
      </c>
      <c r="L66" s="9" t="str">
        <f aca="false">INDEX(Bloques!$F$2:$F$20,MATCH($F66,Bloques!$A$2:$A$20,0))&amp;"–"&amp;INDEX(Bloques!$G$2:$G$20,MATCH($F66,Bloques!$A$2:$A$20,0))</f>
        <v>90–100</v>
      </c>
      <c r="M66" s="9" t="str">
        <f aca="false">INDEX(Bloques!$J$2:$J$20,MATCH($F66,Bloques!$A$2:$A$20,0))&amp;"–"&amp;INDEX(Bloques!$K$2:$K$20,MATCH($F66,Bloques!$A$2:$A$20,0))</f>
        <v>90–100</v>
      </c>
      <c r="N66" s="7"/>
    </row>
    <row r="67" customFormat="false" ht="15" hidden="false" customHeight="false" outlineLevel="0" collapsed="false">
      <c r="A67" s="8" t="str">
        <f aca="false">B67&amp;" "&amp;C67&amp;"′"</f>
        <v>HIIT 45′</v>
      </c>
      <c r="B67" s="7" t="s">
        <v>10</v>
      </c>
      <c r="C67" s="7" t="n">
        <v>45</v>
      </c>
      <c r="D67" s="7" t="n">
        <v>4</v>
      </c>
      <c r="E67" s="7" t="s">
        <v>113</v>
      </c>
      <c r="F67" s="7" t="s">
        <v>69</v>
      </c>
      <c r="G67" s="9" t="str">
        <f aca="false">INDEX(Bloques!$B$2:$B$20,MATCH($F67,Bloques!$A$2:$A$20,0))</f>
        <v>Intervalos 30/30</v>
      </c>
      <c r="H67" s="7" t="n">
        <v>4</v>
      </c>
      <c r="I67" s="8" t="n">
        <f aca="false">I66+H66</f>
        <v>16</v>
      </c>
      <c r="J67" s="9" t="str">
        <f aca="false">INDEX(Bloques!$C$2:$C$20,MATCH($F67,Bloques!$A$2:$A$20,0))</f>
        <v>Sentado / de pie</v>
      </c>
      <c r="K67" s="9" t="str">
        <f aca="false">INDEX(Bloques!$D$2:$D$20,MATCH($F67,Bloques!$A$2:$A$20,0))&amp;"–"&amp;INDEX(Bloques!$E$2:$E$20,MATCH($F67,Bloques!$A$2:$A$20,0))</f>
        <v>6–7</v>
      </c>
      <c r="L67" s="9" t="str">
        <f aca="false">INDEX(Bloques!$F$2:$F$20,MATCH($F67,Bloques!$A$2:$A$20,0))&amp;"–"&amp;INDEX(Bloques!$G$2:$G$20,MATCH($F67,Bloques!$A$2:$A$20,0))</f>
        <v>100–110</v>
      </c>
      <c r="M67" s="9" t="str">
        <f aca="false">INDEX(Bloques!$J$2:$J$20,MATCH($F67,Bloques!$A$2:$A$20,0))&amp;"–"&amp;INDEX(Bloques!$K$2:$K$20,MATCH($F67,Bloques!$A$2:$A$20,0))</f>
        <v>100–110</v>
      </c>
      <c r="N67" s="7" t="s">
        <v>118</v>
      </c>
    </row>
    <row r="68" customFormat="false" ht="15" hidden="false" customHeight="false" outlineLevel="0" collapsed="false">
      <c r="A68" s="8" t="str">
        <f aca="false">B68&amp;" "&amp;C68&amp;"′"</f>
        <v>HIIT 45′</v>
      </c>
      <c r="B68" s="7" t="s">
        <v>10</v>
      </c>
      <c r="C68" s="7" t="n">
        <v>45</v>
      </c>
      <c r="D68" s="7" t="n">
        <v>5</v>
      </c>
      <c r="E68" s="7" t="s">
        <v>113</v>
      </c>
      <c r="F68" s="7" t="s">
        <v>82</v>
      </c>
      <c r="G68" s="9" t="str">
        <f aca="false">INDEX(Bloques!$B$2:$B$20,MATCH($F68,Bloques!$A$2:$A$20,0))</f>
        <v>Recuperación</v>
      </c>
      <c r="H68" s="7" t="n">
        <v>3</v>
      </c>
      <c r="I68" s="8" t="n">
        <f aca="false">I67+H67</f>
        <v>20</v>
      </c>
      <c r="J68" s="9" t="str">
        <f aca="false">INDEX(Bloques!$C$2:$C$20,MATCH($F68,Bloques!$A$2:$A$20,0))</f>
        <v>Sentado</v>
      </c>
      <c r="K68" s="9" t="str">
        <f aca="false">INDEX(Bloques!$D$2:$D$20,MATCH($F68,Bloques!$A$2:$A$20,0))&amp;"–"&amp;INDEX(Bloques!$E$2:$E$20,MATCH($F68,Bloques!$A$2:$A$20,0))</f>
        <v>2–3</v>
      </c>
      <c r="L68" s="9" t="str">
        <f aca="false">INDEX(Bloques!$F$2:$F$20,MATCH($F68,Bloques!$A$2:$A$20,0))&amp;"–"&amp;INDEX(Bloques!$G$2:$G$20,MATCH($F68,Bloques!$A$2:$A$20,0))</f>
        <v>80–90</v>
      </c>
      <c r="M68" s="9" t="str">
        <f aca="false">INDEX(Bloques!$J$2:$J$20,MATCH($F68,Bloques!$A$2:$A$20,0))&amp;"–"&amp;INDEX(Bloques!$K$2:$K$20,MATCH($F68,Bloques!$A$2:$A$20,0))</f>
        <v>80–90</v>
      </c>
      <c r="N68" s="7"/>
    </row>
    <row r="69" customFormat="false" ht="15" hidden="false" customHeight="false" outlineLevel="0" collapsed="false">
      <c r="A69" s="8" t="str">
        <f aca="false">B69&amp;" "&amp;C69&amp;"′"</f>
        <v>HIIT 45′</v>
      </c>
      <c r="B69" s="7" t="s">
        <v>10</v>
      </c>
      <c r="C69" s="7" t="n">
        <v>45</v>
      </c>
      <c r="D69" s="7" t="n">
        <v>6</v>
      </c>
      <c r="E69" s="7" t="s">
        <v>115</v>
      </c>
      <c r="F69" s="7" t="s">
        <v>73</v>
      </c>
      <c r="G69" s="9" t="str">
        <f aca="false">INDEX(Bloques!$B$2:$B$20,MATCH($F69,Bloques!$A$2:$A$20,0))</f>
        <v>Intervalos 40/20</v>
      </c>
      <c r="H69" s="7" t="n">
        <v>4</v>
      </c>
      <c r="I69" s="8" t="n">
        <f aca="false">I68+H68</f>
        <v>23</v>
      </c>
      <c r="J69" s="9" t="str">
        <f aca="false">INDEX(Bloques!$C$2:$C$20,MATCH($F69,Bloques!$A$2:$A$20,0))</f>
        <v>Sentado / de pie</v>
      </c>
      <c r="K69" s="9" t="str">
        <f aca="false">INDEX(Bloques!$D$2:$D$20,MATCH($F69,Bloques!$A$2:$A$20,0))&amp;"–"&amp;INDEX(Bloques!$E$2:$E$20,MATCH($F69,Bloques!$A$2:$A$20,0))</f>
        <v>6–8</v>
      </c>
      <c r="L69" s="9" t="str">
        <f aca="false">INDEX(Bloques!$F$2:$F$20,MATCH($F69,Bloques!$A$2:$A$20,0))&amp;"–"&amp;INDEX(Bloques!$G$2:$G$20,MATCH($F69,Bloques!$A$2:$A$20,0))</f>
        <v>100–115</v>
      </c>
      <c r="M69" s="9" t="str">
        <f aca="false">INDEX(Bloques!$J$2:$J$20,MATCH($F69,Bloques!$A$2:$A$20,0))&amp;"–"&amp;INDEX(Bloques!$K$2:$K$20,MATCH($F69,Bloques!$A$2:$A$20,0))</f>
        <v>100–115</v>
      </c>
      <c r="N69" s="7"/>
    </row>
    <row r="70" customFormat="false" ht="15" hidden="false" customHeight="false" outlineLevel="0" collapsed="false">
      <c r="A70" s="8" t="str">
        <f aca="false">B70&amp;" "&amp;C70&amp;"′"</f>
        <v>HIIT 45′</v>
      </c>
      <c r="B70" s="7" t="s">
        <v>10</v>
      </c>
      <c r="C70" s="7" t="n">
        <v>45</v>
      </c>
      <c r="D70" s="7" t="n">
        <v>7</v>
      </c>
      <c r="E70" s="7" t="s">
        <v>115</v>
      </c>
      <c r="F70" s="7" t="s">
        <v>82</v>
      </c>
      <c r="G70" s="9" t="str">
        <f aca="false">INDEX(Bloques!$B$2:$B$20,MATCH($F70,Bloques!$A$2:$A$20,0))</f>
        <v>Recuperación</v>
      </c>
      <c r="H70" s="7" t="n">
        <v>3</v>
      </c>
      <c r="I70" s="8" t="n">
        <f aca="false">I69+H69</f>
        <v>27</v>
      </c>
      <c r="J70" s="9" t="str">
        <f aca="false">INDEX(Bloques!$C$2:$C$20,MATCH($F70,Bloques!$A$2:$A$20,0))</f>
        <v>Sentado</v>
      </c>
      <c r="K70" s="9" t="str">
        <f aca="false">INDEX(Bloques!$D$2:$D$20,MATCH($F70,Bloques!$A$2:$A$20,0))&amp;"–"&amp;INDEX(Bloques!$E$2:$E$20,MATCH($F70,Bloques!$A$2:$A$20,0))</f>
        <v>2–3</v>
      </c>
      <c r="L70" s="9" t="str">
        <f aca="false">INDEX(Bloques!$F$2:$F$20,MATCH($F70,Bloques!$A$2:$A$20,0))&amp;"–"&amp;INDEX(Bloques!$G$2:$G$20,MATCH($F70,Bloques!$A$2:$A$20,0))</f>
        <v>80–90</v>
      </c>
      <c r="M70" s="9" t="str">
        <f aca="false">INDEX(Bloques!$J$2:$J$20,MATCH($F70,Bloques!$A$2:$A$20,0))&amp;"–"&amp;INDEX(Bloques!$K$2:$K$20,MATCH($F70,Bloques!$A$2:$A$20,0))</f>
        <v>80–90</v>
      </c>
      <c r="N70" s="7"/>
    </row>
    <row r="71" customFormat="false" ht="15" hidden="false" customHeight="false" outlineLevel="0" collapsed="false">
      <c r="A71" s="8" t="str">
        <f aca="false">B71&amp;" "&amp;C71&amp;"′"</f>
        <v>HIIT 45′</v>
      </c>
      <c r="B71" s="7" t="s">
        <v>10</v>
      </c>
      <c r="C71" s="7" t="n">
        <v>45</v>
      </c>
      <c r="D71" s="7" t="n">
        <v>8</v>
      </c>
      <c r="E71" s="7" t="s">
        <v>119</v>
      </c>
      <c r="F71" s="7" t="s">
        <v>76</v>
      </c>
      <c r="G71" s="9" t="str">
        <f aca="false">INDEX(Bloques!$B$2:$B$20,MATCH($F71,Bloques!$A$2:$A$20,0))</f>
        <v>Intervalos 20/10 (Tabata)</v>
      </c>
      <c r="H71" s="7" t="n">
        <v>4</v>
      </c>
      <c r="I71" s="8" t="n">
        <f aca="false">I70+H70</f>
        <v>30</v>
      </c>
      <c r="J71" s="9" t="str">
        <f aca="false">INDEX(Bloques!$C$2:$C$20,MATCH($F71,Bloques!$A$2:$A$20,0))</f>
        <v>Sentado / de pie</v>
      </c>
      <c r="K71" s="9" t="str">
        <f aca="false">INDEX(Bloques!$D$2:$D$20,MATCH($F71,Bloques!$A$2:$A$20,0))&amp;"–"&amp;INDEX(Bloques!$E$2:$E$20,MATCH($F71,Bloques!$A$2:$A$20,0))</f>
        <v>7–9</v>
      </c>
      <c r="L71" s="9" t="str">
        <f aca="false">INDEX(Bloques!$F$2:$F$20,MATCH($F71,Bloques!$A$2:$A$20,0))&amp;"–"&amp;INDEX(Bloques!$G$2:$G$20,MATCH($F71,Bloques!$A$2:$A$20,0))</f>
        <v>105–120</v>
      </c>
      <c r="M71" s="9" t="str">
        <f aca="false">INDEX(Bloques!$J$2:$J$20,MATCH($F71,Bloques!$A$2:$A$20,0))&amp;"–"&amp;INDEX(Bloques!$K$2:$K$20,MATCH($F71,Bloques!$A$2:$A$20,0))</f>
        <v>105–120</v>
      </c>
      <c r="N71" s="7"/>
    </row>
    <row r="72" customFormat="false" ht="15" hidden="false" customHeight="false" outlineLevel="0" collapsed="false">
      <c r="A72" s="8" t="str">
        <f aca="false">B72&amp;" "&amp;C72&amp;"′"</f>
        <v>HIIT 45′</v>
      </c>
      <c r="B72" s="7" t="s">
        <v>10</v>
      </c>
      <c r="C72" s="7" t="n">
        <v>45</v>
      </c>
      <c r="D72" s="7" t="n">
        <v>9</v>
      </c>
      <c r="E72" s="7" t="s">
        <v>119</v>
      </c>
      <c r="F72" s="7" t="s">
        <v>82</v>
      </c>
      <c r="G72" s="9" t="str">
        <f aca="false">INDEX(Bloques!$B$2:$B$20,MATCH($F72,Bloques!$A$2:$A$20,0))</f>
        <v>Recuperación</v>
      </c>
      <c r="H72" s="7" t="n">
        <v>3</v>
      </c>
      <c r="I72" s="8" t="n">
        <f aca="false">I71+H71</f>
        <v>34</v>
      </c>
      <c r="J72" s="9" t="str">
        <f aca="false">INDEX(Bloques!$C$2:$C$20,MATCH($F72,Bloques!$A$2:$A$20,0))</f>
        <v>Sentado</v>
      </c>
      <c r="K72" s="9" t="str">
        <f aca="false">INDEX(Bloques!$D$2:$D$20,MATCH($F72,Bloques!$A$2:$A$20,0))&amp;"–"&amp;INDEX(Bloques!$E$2:$E$20,MATCH($F72,Bloques!$A$2:$A$20,0))</f>
        <v>2–3</v>
      </c>
      <c r="L72" s="9" t="str">
        <f aca="false">INDEX(Bloques!$F$2:$F$20,MATCH($F72,Bloques!$A$2:$A$20,0))&amp;"–"&amp;INDEX(Bloques!$G$2:$G$20,MATCH($F72,Bloques!$A$2:$A$20,0))</f>
        <v>80–90</v>
      </c>
      <c r="M72" s="9" t="str">
        <f aca="false">INDEX(Bloques!$J$2:$J$20,MATCH($F72,Bloques!$A$2:$A$20,0))&amp;"–"&amp;INDEX(Bloques!$K$2:$K$20,MATCH($F72,Bloques!$A$2:$A$20,0))</f>
        <v>80–90</v>
      </c>
      <c r="N72" s="7"/>
    </row>
    <row r="73" customFormat="false" ht="15" hidden="false" customHeight="false" outlineLevel="0" collapsed="false">
      <c r="A73" s="8" t="str">
        <f aca="false">B73&amp;" "&amp;C73&amp;"′"</f>
        <v>HIIT 45′</v>
      </c>
      <c r="B73" s="7" t="s">
        <v>10</v>
      </c>
      <c r="C73" s="7" t="n">
        <v>45</v>
      </c>
      <c r="D73" s="7" t="n">
        <v>10</v>
      </c>
      <c r="E73" s="7" t="s">
        <v>102</v>
      </c>
      <c r="F73" s="7" t="s">
        <v>85</v>
      </c>
      <c r="G73" s="9" t="str">
        <f aca="false">INDEX(Bloques!$B$2:$B$20,MATCH($F73,Bloques!$A$2:$A$20,0))</f>
        <v>Vuelta a la calma</v>
      </c>
      <c r="H73" s="7" t="n">
        <v>8</v>
      </c>
      <c r="I73" s="8" t="n">
        <f aca="false">I72+H72</f>
        <v>37</v>
      </c>
      <c r="J73" s="9" t="str">
        <f aca="false">INDEX(Bloques!$C$2:$C$20,MATCH($F73,Bloques!$A$2:$A$20,0))</f>
        <v>Sentado</v>
      </c>
      <c r="K73" s="9" t="str">
        <f aca="false">INDEX(Bloques!$D$2:$D$20,MATCH($F73,Bloques!$A$2:$A$20,0))&amp;"–"&amp;INDEX(Bloques!$E$2:$E$20,MATCH($F73,Bloques!$A$2:$A$20,0))</f>
        <v>1–2</v>
      </c>
      <c r="L73" s="9" t="str">
        <f aca="false">INDEX(Bloques!$F$2:$F$20,MATCH($F73,Bloques!$A$2:$A$20,0))&amp;"–"&amp;INDEX(Bloques!$G$2:$G$20,MATCH($F73,Bloques!$A$2:$A$20,0))</f>
        <v>70–90</v>
      </c>
      <c r="M73" s="9" t="str">
        <f aca="false">INDEX(Bloques!$J$2:$J$20,MATCH($F73,Bloques!$A$2:$A$20,0))&amp;"–"&amp;INDEX(Bloques!$K$2:$K$20,MATCH($F73,Bloques!$A$2:$A$20,0))</f>
        <v>70–90</v>
      </c>
      <c r="N73" s="7"/>
    </row>
    <row r="74" customFormat="false" ht="15" hidden="false" customHeight="false" outlineLevel="0" collapsed="false">
      <c r="A74" s="8" t="str">
        <f aca="false">B74&amp;" "&amp;C74&amp;"′"</f>
        <v>HIIT 60′</v>
      </c>
      <c r="B74" s="7" t="s">
        <v>10</v>
      </c>
      <c r="C74" s="7" t="n">
        <v>60</v>
      </c>
      <c r="D74" s="7" t="n">
        <v>1</v>
      </c>
      <c r="E74" s="7" t="s">
        <v>40</v>
      </c>
      <c r="F74" s="7" t="s">
        <v>39</v>
      </c>
      <c r="G74" s="9" t="str">
        <f aca="false">INDEX(Bloques!$B$2:$B$20,MATCH($F74,Bloques!$A$2:$A$20,0))</f>
        <v>Calentamiento</v>
      </c>
      <c r="H74" s="7" t="n">
        <v>10</v>
      </c>
      <c r="I74" s="8" t="n">
        <v>0</v>
      </c>
      <c r="J74" s="9" t="str">
        <f aca="false">INDEX(Bloques!$C$2:$C$20,MATCH($F74,Bloques!$A$2:$A$20,0))</f>
        <v>Sentado</v>
      </c>
      <c r="K74" s="9" t="str">
        <f aca="false">INDEX(Bloques!$D$2:$D$20,MATCH($F74,Bloques!$A$2:$A$20,0))&amp;"–"&amp;INDEX(Bloques!$E$2:$E$20,MATCH($F74,Bloques!$A$2:$A$20,0))</f>
        <v>2–3</v>
      </c>
      <c r="L74" s="9" t="str">
        <f aca="false">INDEX(Bloques!$F$2:$F$20,MATCH($F74,Bloques!$A$2:$A$20,0))&amp;"–"&amp;INDEX(Bloques!$G$2:$G$20,MATCH($F74,Bloques!$A$2:$A$20,0))</f>
        <v>85–95</v>
      </c>
      <c r="M74" s="9" t="str">
        <f aca="false">INDEX(Bloques!$J$2:$J$20,MATCH($F74,Bloques!$A$2:$A$20,0))&amp;"–"&amp;INDEX(Bloques!$K$2:$K$20,MATCH($F74,Bloques!$A$2:$A$20,0))</f>
        <v>85–95</v>
      </c>
      <c r="N74" s="7"/>
    </row>
    <row r="75" customFormat="false" ht="15" hidden="false" customHeight="false" outlineLevel="0" collapsed="false">
      <c r="A75" s="8" t="str">
        <f aca="false">B75&amp;" "&amp;C75&amp;"′"</f>
        <v>HIIT 60′</v>
      </c>
      <c r="B75" s="7" t="s">
        <v>10</v>
      </c>
      <c r="C75" s="7" t="n">
        <v>60</v>
      </c>
      <c r="D75" s="7" t="n">
        <v>2</v>
      </c>
      <c r="E75" s="7" t="s">
        <v>116</v>
      </c>
      <c r="F75" s="7" t="s">
        <v>45</v>
      </c>
      <c r="G75" s="9" t="str">
        <f aca="false">INDEX(Bloques!$B$2:$B$20,MATCH($F75,Bloques!$A$2:$A$20,0))</f>
        <v>Llano</v>
      </c>
      <c r="H75" s="7" t="n">
        <v>4</v>
      </c>
      <c r="I75" s="8" t="n">
        <f aca="false">I74+H74</f>
        <v>10</v>
      </c>
      <c r="J75" s="9" t="str">
        <f aca="false">INDEX(Bloques!$C$2:$C$20,MATCH($F75,Bloques!$A$2:$A$20,0))</f>
        <v>Sentado</v>
      </c>
      <c r="K75" s="9" t="str">
        <f aca="false">INDEX(Bloques!$D$2:$D$20,MATCH($F75,Bloques!$A$2:$A$20,0))&amp;"–"&amp;INDEX(Bloques!$E$2:$E$20,MATCH($F75,Bloques!$A$2:$A$20,0))</f>
        <v>3–4</v>
      </c>
      <c r="L75" s="9" t="str">
        <f aca="false">INDEX(Bloques!$F$2:$F$20,MATCH($F75,Bloques!$A$2:$A$20,0))&amp;"–"&amp;INDEX(Bloques!$G$2:$G$20,MATCH($F75,Bloques!$A$2:$A$20,0))</f>
        <v>90–100</v>
      </c>
      <c r="M75" s="9" t="str">
        <f aca="false">INDEX(Bloques!$J$2:$J$20,MATCH($F75,Bloques!$A$2:$A$20,0))&amp;"–"&amp;INDEX(Bloques!$K$2:$K$20,MATCH($F75,Bloques!$A$2:$A$20,0))</f>
        <v>90–100</v>
      </c>
      <c r="N75" s="7"/>
    </row>
    <row r="76" customFormat="false" ht="15" hidden="false" customHeight="false" outlineLevel="0" collapsed="false">
      <c r="A76" s="8" t="str">
        <f aca="false">B76&amp;" "&amp;C76&amp;"′"</f>
        <v>HIIT 60′</v>
      </c>
      <c r="B76" s="7" t="s">
        <v>10</v>
      </c>
      <c r="C76" s="7" t="n">
        <v>60</v>
      </c>
      <c r="D76" s="7" t="n">
        <v>3</v>
      </c>
      <c r="E76" s="7" t="s">
        <v>116</v>
      </c>
      <c r="F76" s="7" t="s">
        <v>49</v>
      </c>
      <c r="G76" s="9" t="str">
        <f aca="false">INDEX(Bloques!$B$2:$B$20,MATCH($F76,Bloques!$A$2:$A$20,0))</f>
        <v>Tempo</v>
      </c>
      <c r="H76" s="7" t="n">
        <v>4</v>
      </c>
      <c r="I76" s="8" t="n">
        <f aca="false">I75+H75</f>
        <v>14</v>
      </c>
      <c r="J76" s="9" t="str">
        <f aca="false">INDEX(Bloques!$C$2:$C$20,MATCH($F76,Bloques!$A$2:$A$20,0))</f>
        <v>Sentado</v>
      </c>
      <c r="K76" s="9" t="str">
        <f aca="false">INDEX(Bloques!$D$2:$D$20,MATCH($F76,Bloques!$A$2:$A$20,0))&amp;"–"&amp;INDEX(Bloques!$E$2:$E$20,MATCH($F76,Bloques!$A$2:$A$20,0))</f>
        <v>5–6</v>
      </c>
      <c r="L76" s="9" t="str">
        <f aca="false">INDEX(Bloques!$F$2:$F$20,MATCH($F76,Bloques!$A$2:$A$20,0))&amp;"–"&amp;INDEX(Bloques!$G$2:$G$20,MATCH($F76,Bloques!$A$2:$A$20,0))</f>
        <v>90–100</v>
      </c>
      <c r="M76" s="9" t="str">
        <f aca="false">INDEX(Bloques!$J$2:$J$20,MATCH($F76,Bloques!$A$2:$A$20,0))&amp;"–"&amp;INDEX(Bloques!$K$2:$K$20,MATCH($F76,Bloques!$A$2:$A$20,0))</f>
        <v>90–100</v>
      </c>
      <c r="N76" s="7"/>
    </row>
    <row r="77" customFormat="false" ht="15" hidden="false" customHeight="false" outlineLevel="0" collapsed="false">
      <c r="A77" s="8" t="str">
        <f aca="false">B77&amp;" "&amp;C77&amp;"′"</f>
        <v>HIIT 60′</v>
      </c>
      <c r="B77" s="7" t="s">
        <v>10</v>
      </c>
      <c r="C77" s="7" t="n">
        <v>60</v>
      </c>
      <c r="D77" s="7" t="n">
        <v>4</v>
      </c>
      <c r="E77" s="7" t="s">
        <v>113</v>
      </c>
      <c r="F77" s="7" t="s">
        <v>69</v>
      </c>
      <c r="G77" s="9" t="str">
        <f aca="false">INDEX(Bloques!$B$2:$B$20,MATCH($F77,Bloques!$A$2:$A$20,0))</f>
        <v>Intervalos 30/30</v>
      </c>
      <c r="H77" s="7" t="n">
        <v>4</v>
      </c>
      <c r="I77" s="8" t="n">
        <f aca="false">I76+H76</f>
        <v>18</v>
      </c>
      <c r="J77" s="9" t="str">
        <f aca="false">INDEX(Bloques!$C$2:$C$20,MATCH($F77,Bloques!$A$2:$A$20,0))</f>
        <v>Sentado / de pie</v>
      </c>
      <c r="K77" s="9" t="str">
        <f aca="false">INDEX(Bloques!$D$2:$D$20,MATCH($F77,Bloques!$A$2:$A$20,0))&amp;"–"&amp;INDEX(Bloques!$E$2:$E$20,MATCH($F77,Bloques!$A$2:$A$20,0))</f>
        <v>6–7</v>
      </c>
      <c r="L77" s="9" t="str">
        <f aca="false">INDEX(Bloques!$F$2:$F$20,MATCH($F77,Bloques!$A$2:$A$20,0))&amp;"–"&amp;INDEX(Bloques!$G$2:$G$20,MATCH($F77,Bloques!$A$2:$A$20,0))</f>
        <v>100–110</v>
      </c>
      <c r="M77" s="9" t="str">
        <f aca="false">INDEX(Bloques!$J$2:$J$20,MATCH($F77,Bloques!$A$2:$A$20,0))&amp;"–"&amp;INDEX(Bloques!$K$2:$K$20,MATCH($F77,Bloques!$A$2:$A$20,0))</f>
        <v>100–110</v>
      </c>
      <c r="N77" s="7"/>
    </row>
    <row r="78" customFormat="false" ht="15" hidden="false" customHeight="false" outlineLevel="0" collapsed="false">
      <c r="A78" s="8" t="str">
        <f aca="false">B78&amp;" "&amp;C78&amp;"′"</f>
        <v>HIIT 60′</v>
      </c>
      <c r="B78" s="7" t="s">
        <v>10</v>
      </c>
      <c r="C78" s="7" t="n">
        <v>60</v>
      </c>
      <c r="D78" s="7" t="n">
        <v>5</v>
      </c>
      <c r="E78" s="7" t="s">
        <v>113</v>
      </c>
      <c r="F78" s="7" t="s">
        <v>82</v>
      </c>
      <c r="G78" s="9" t="str">
        <f aca="false">INDEX(Bloques!$B$2:$B$20,MATCH($F78,Bloques!$A$2:$A$20,0))</f>
        <v>Recuperación</v>
      </c>
      <c r="H78" s="7" t="n">
        <v>3</v>
      </c>
      <c r="I78" s="8" t="n">
        <f aca="false">I77+H77</f>
        <v>22</v>
      </c>
      <c r="J78" s="9" t="str">
        <f aca="false">INDEX(Bloques!$C$2:$C$20,MATCH($F78,Bloques!$A$2:$A$20,0))</f>
        <v>Sentado</v>
      </c>
      <c r="K78" s="9" t="str">
        <f aca="false">INDEX(Bloques!$D$2:$D$20,MATCH($F78,Bloques!$A$2:$A$20,0))&amp;"–"&amp;INDEX(Bloques!$E$2:$E$20,MATCH($F78,Bloques!$A$2:$A$20,0))</f>
        <v>2–3</v>
      </c>
      <c r="L78" s="9" t="str">
        <f aca="false">INDEX(Bloques!$F$2:$F$20,MATCH($F78,Bloques!$A$2:$A$20,0))&amp;"–"&amp;INDEX(Bloques!$G$2:$G$20,MATCH($F78,Bloques!$A$2:$A$20,0))</f>
        <v>80–90</v>
      </c>
      <c r="M78" s="9" t="str">
        <f aca="false">INDEX(Bloques!$J$2:$J$20,MATCH($F78,Bloques!$A$2:$A$20,0))&amp;"–"&amp;INDEX(Bloques!$K$2:$K$20,MATCH($F78,Bloques!$A$2:$A$20,0))</f>
        <v>80–90</v>
      </c>
      <c r="N78" s="7"/>
    </row>
    <row r="79" customFormat="false" ht="15" hidden="false" customHeight="false" outlineLevel="0" collapsed="false">
      <c r="A79" s="8" t="str">
        <f aca="false">B79&amp;" "&amp;C79&amp;"′"</f>
        <v>HIIT 60′</v>
      </c>
      <c r="B79" s="7" t="s">
        <v>10</v>
      </c>
      <c r="C79" s="7" t="n">
        <v>60</v>
      </c>
      <c r="D79" s="7" t="n">
        <v>6</v>
      </c>
      <c r="E79" s="7" t="s">
        <v>115</v>
      </c>
      <c r="F79" s="7" t="s">
        <v>73</v>
      </c>
      <c r="G79" s="9" t="str">
        <f aca="false">INDEX(Bloques!$B$2:$B$20,MATCH($F79,Bloques!$A$2:$A$20,0))</f>
        <v>Intervalos 40/20</v>
      </c>
      <c r="H79" s="7" t="n">
        <v>4</v>
      </c>
      <c r="I79" s="8" t="n">
        <f aca="false">I78+H78</f>
        <v>25</v>
      </c>
      <c r="J79" s="9" t="str">
        <f aca="false">INDEX(Bloques!$C$2:$C$20,MATCH($F79,Bloques!$A$2:$A$20,0))</f>
        <v>Sentado / de pie</v>
      </c>
      <c r="K79" s="9" t="str">
        <f aca="false">INDEX(Bloques!$D$2:$D$20,MATCH($F79,Bloques!$A$2:$A$20,0))&amp;"–"&amp;INDEX(Bloques!$E$2:$E$20,MATCH($F79,Bloques!$A$2:$A$20,0))</f>
        <v>6–8</v>
      </c>
      <c r="L79" s="9" t="str">
        <f aca="false">INDEX(Bloques!$F$2:$F$20,MATCH($F79,Bloques!$A$2:$A$20,0))&amp;"–"&amp;INDEX(Bloques!$G$2:$G$20,MATCH($F79,Bloques!$A$2:$A$20,0))</f>
        <v>100–115</v>
      </c>
      <c r="M79" s="9" t="str">
        <f aca="false">INDEX(Bloques!$J$2:$J$20,MATCH($F79,Bloques!$A$2:$A$20,0))&amp;"–"&amp;INDEX(Bloques!$K$2:$K$20,MATCH($F79,Bloques!$A$2:$A$20,0))</f>
        <v>100–115</v>
      </c>
      <c r="N79" s="7"/>
    </row>
    <row r="80" customFormat="false" ht="15" hidden="false" customHeight="false" outlineLevel="0" collapsed="false">
      <c r="A80" s="8" t="str">
        <f aca="false">B80&amp;" "&amp;C80&amp;"′"</f>
        <v>HIIT 60′</v>
      </c>
      <c r="B80" s="7" t="s">
        <v>10</v>
      </c>
      <c r="C80" s="7" t="n">
        <v>60</v>
      </c>
      <c r="D80" s="7" t="n">
        <v>7</v>
      </c>
      <c r="E80" s="7" t="s">
        <v>115</v>
      </c>
      <c r="F80" s="7" t="s">
        <v>82</v>
      </c>
      <c r="G80" s="9" t="str">
        <f aca="false">INDEX(Bloques!$B$2:$B$20,MATCH($F80,Bloques!$A$2:$A$20,0))</f>
        <v>Recuperación</v>
      </c>
      <c r="H80" s="7" t="n">
        <v>3</v>
      </c>
      <c r="I80" s="8" t="n">
        <f aca="false">I79+H79</f>
        <v>29</v>
      </c>
      <c r="J80" s="9" t="str">
        <f aca="false">INDEX(Bloques!$C$2:$C$20,MATCH($F80,Bloques!$A$2:$A$20,0))</f>
        <v>Sentado</v>
      </c>
      <c r="K80" s="9" t="str">
        <f aca="false">INDEX(Bloques!$D$2:$D$20,MATCH($F80,Bloques!$A$2:$A$20,0))&amp;"–"&amp;INDEX(Bloques!$E$2:$E$20,MATCH($F80,Bloques!$A$2:$A$20,0))</f>
        <v>2–3</v>
      </c>
      <c r="L80" s="9" t="str">
        <f aca="false">INDEX(Bloques!$F$2:$F$20,MATCH($F80,Bloques!$A$2:$A$20,0))&amp;"–"&amp;INDEX(Bloques!$G$2:$G$20,MATCH($F80,Bloques!$A$2:$A$20,0))</f>
        <v>80–90</v>
      </c>
      <c r="M80" s="9" t="str">
        <f aca="false">INDEX(Bloques!$J$2:$J$20,MATCH($F80,Bloques!$A$2:$A$20,0))&amp;"–"&amp;INDEX(Bloques!$K$2:$K$20,MATCH($F80,Bloques!$A$2:$A$20,0))</f>
        <v>80–90</v>
      </c>
      <c r="N80" s="7"/>
    </row>
    <row r="81" customFormat="false" ht="15" hidden="false" customHeight="false" outlineLevel="0" collapsed="false">
      <c r="A81" s="8" t="str">
        <f aca="false">B81&amp;" "&amp;C81&amp;"′"</f>
        <v>HIIT 60′</v>
      </c>
      <c r="B81" s="7" t="s">
        <v>10</v>
      </c>
      <c r="C81" s="7" t="n">
        <v>60</v>
      </c>
      <c r="D81" s="7" t="n">
        <v>8</v>
      </c>
      <c r="E81" s="7" t="s">
        <v>119</v>
      </c>
      <c r="F81" s="7" t="s">
        <v>76</v>
      </c>
      <c r="G81" s="9" t="str">
        <f aca="false">INDEX(Bloques!$B$2:$B$20,MATCH($F81,Bloques!$A$2:$A$20,0))</f>
        <v>Intervalos 20/10 (Tabata)</v>
      </c>
      <c r="H81" s="7" t="n">
        <v>4</v>
      </c>
      <c r="I81" s="8" t="n">
        <f aca="false">I80+H80</f>
        <v>32</v>
      </c>
      <c r="J81" s="9" t="str">
        <f aca="false">INDEX(Bloques!$C$2:$C$20,MATCH($F81,Bloques!$A$2:$A$20,0))</f>
        <v>Sentado / de pie</v>
      </c>
      <c r="K81" s="9" t="str">
        <f aca="false">INDEX(Bloques!$D$2:$D$20,MATCH($F81,Bloques!$A$2:$A$20,0))&amp;"–"&amp;INDEX(Bloques!$E$2:$E$20,MATCH($F81,Bloques!$A$2:$A$20,0))</f>
        <v>7–9</v>
      </c>
      <c r="L81" s="9" t="str">
        <f aca="false">INDEX(Bloques!$F$2:$F$20,MATCH($F81,Bloques!$A$2:$A$20,0))&amp;"–"&amp;INDEX(Bloques!$G$2:$G$20,MATCH($F81,Bloques!$A$2:$A$20,0))</f>
        <v>105–120</v>
      </c>
      <c r="M81" s="9" t="str">
        <f aca="false">INDEX(Bloques!$J$2:$J$20,MATCH($F81,Bloques!$A$2:$A$20,0))&amp;"–"&amp;INDEX(Bloques!$K$2:$K$20,MATCH($F81,Bloques!$A$2:$A$20,0))</f>
        <v>105–120</v>
      </c>
      <c r="N81" s="7"/>
    </row>
    <row r="82" customFormat="false" ht="15" hidden="false" customHeight="false" outlineLevel="0" collapsed="false">
      <c r="A82" s="8" t="str">
        <f aca="false">B82&amp;" "&amp;C82&amp;"′"</f>
        <v>HIIT 60′</v>
      </c>
      <c r="B82" s="7" t="s">
        <v>10</v>
      </c>
      <c r="C82" s="7" t="n">
        <v>60</v>
      </c>
      <c r="D82" s="7" t="n">
        <v>9</v>
      </c>
      <c r="E82" s="7" t="s">
        <v>119</v>
      </c>
      <c r="F82" s="7" t="s">
        <v>82</v>
      </c>
      <c r="G82" s="9" t="str">
        <f aca="false">INDEX(Bloques!$B$2:$B$20,MATCH($F82,Bloques!$A$2:$A$20,0))</f>
        <v>Recuperación</v>
      </c>
      <c r="H82" s="7" t="n">
        <v>3</v>
      </c>
      <c r="I82" s="8" t="n">
        <f aca="false">I81+H81</f>
        <v>36</v>
      </c>
      <c r="J82" s="9" t="str">
        <f aca="false">INDEX(Bloques!$C$2:$C$20,MATCH($F82,Bloques!$A$2:$A$20,0))</f>
        <v>Sentado</v>
      </c>
      <c r="K82" s="9" t="str">
        <f aca="false">INDEX(Bloques!$D$2:$D$20,MATCH($F82,Bloques!$A$2:$A$20,0))&amp;"–"&amp;INDEX(Bloques!$E$2:$E$20,MATCH($F82,Bloques!$A$2:$A$20,0))</f>
        <v>2–3</v>
      </c>
      <c r="L82" s="9" t="str">
        <f aca="false">INDEX(Bloques!$F$2:$F$20,MATCH($F82,Bloques!$A$2:$A$20,0))&amp;"–"&amp;INDEX(Bloques!$G$2:$G$20,MATCH($F82,Bloques!$A$2:$A$20,0))</f>
        <v>80–90</v>
      </c>
      <c r="M82" s="9" t="str">
        <f aca="false">INDEX(Bloques!$J$2:$J$20,MATCH($F82,Bloques!$A$2:$A$20,0))&amp;"–"&amp;INDEX(Bloques!$K$2:$K$20,MATCH($F82,Bloques!$A$2:$A$20,0))</f>
        <v>80–90</v>
      </c>
      <c r="N82" s="7"/>
    </row>
    <row r="83" customFormat="false" ht="15" hidden="false" customHeight="false" outlineLevel="0" collapsed="false">
      <c r="A83" s="8" t="str">
        <f aca="false">B83&amp;" "&amp;C83&amp;"′"</f>
        <v>HIIT 60′</v>
      </c>
      <c r="B83" s="7" t="s">
        <v>10</v>
      </c>
      <c r="C83" s="7" t="n">
        <v>60</v>
      </c>
      <c r="D83" s="7" t="n">
        <v>10</v>
      </c>
      <c r="E83" s="7" t="s">
        <v>120</v>
      </c>
      <c r="F83" s="7" t="s">
        <v>49</v>
      </c>
      <c r="G83" s="9" t="str">
        <f aca="false">INDEX(Bloques!$B$2:$B$20,MATCH($F83,Bloques!$A$2:$A$20,0))</f>
        <v>Tempo</v>
      </c>
      <c r="H83" s="7" t="n">
        <v>6</v>
      </c>
      <c r="I83" s="8" t="n">
        <f aca="false">I82+H82</f>
        <v>39</v>
      </c>
      <c r="J83" s="9" t="str">
        <f aca="false">INDEX(Bloques!$C$2:$C$20,MATCH($F83,Bloques!$A$2:$A$20,0))</f>
        <v>Sentado</v>
      </c>
      <c r="K83" s="9" t="str">
        <f aca="false">INDEX(Bloques!$D$2:$D$20,MATCH($F83,Bloques!$A$2:$A$20,0))&amp;"–"&amp;INDEX(Bloques!$E$2:$E$20,MATCH($F83,Bloques!$A$2:$A$20,0))</f>
        <v>5–6</v>
      </c>
      <c r="L83" s="9" t="str">
        <f aca="false">INDEX(Bloques!$F$2:$F$20,MATCH($F83,Bloques!$A$2:$A$20,0))&amp;"–"&amp;INDEX(Bloques!$G$2:$G$20,MATCH($F83,Bloques!$A$2:$A$20,0))</f>
        <v>90–100</v>
      </c>
      <c r="M83" s="9" t="str">
        <f aca="false">INDEX(Bloques!$J$2:$J$20,MATCH($F83,Bloques!$A$2:$A$20,0))&amp;"–"&amp;INDEX(Bloques!$K$2:$K$20,MATCH($F83,Bloques!$A$2:$A$20,0))</f>
        <v>90–100</v>
      </c>
      <c r="N83" s="7" t="s">
        <v>121</v>
      </c>
    </row>
    <row r="84" customFormat="false" ht="15" hidden="false" customHeight="false" outlineLevel="0" collapsed="false">
      <c r="A84" s="8" t="str">
        <f aca="false">B84&amp;" "&amp;C84&amp;"′"</f>
        <v>HIIT 60′</v>
      </c>
      <c r="B84" s="7" t="s">
        <v>10</v>
      </c>
      <c r="C84" s="7" t="n">
        <v>60</v>
      </c>
      <c r="D84" s="7" t="n">
        <v>11</v>
      </c>
      <c r="E84" s="7" t="s">
        <v>120</v>
      </c>
      <c r="F84" s="7" t="s">
        <v>57</v>
      </c>
      <c r="G84" s="9" t="str">
        <f aca="false">INDEX(Bloques!$B$2:$B$20,MATCH($F84,Bloques!$A$2:$A$20,0))</f>
        <v>Subida sentado</v>
      </c>
      <c r="H84" s="7" t="n">
        <v>6</v>
      </c>
      <c r="I84" s="8" t="n">
        <f aca="false">I83+H83</f>
        <v>45</v>
      </c>
      <c r="J84" s="9" t="str">
        <f aca="false">INDEX(Bloques!$C$2:$C$20,MATCH($F84,Bloques!$A$2:$A$20,0))</f>
        <v>Sentado</v>
      </c>
      <c r="K84" s="9" t="str">
        <f aca="false">INDEX(Bloques!$D$2:$D$20,MATCH($F84,Bloques!$A$2:$A$20,0))&amp;"–"&amp;INDEX(Bloques!$E$2:$E$20,MATCH($F84,Bloques!$A$2:$A$20,0))</f>
        <v>6–7</v>
      </c>
      <c r="L84" s="9" t="str">
        <f aca="false">INDEX(Bloques!$F$2:$F$20,MATCH($F84,Bloques!$A$2:$A$20,0))&amp;"–"&amp;INDEX(Bloques!$G$2:$G$20,MATCH($F84,Bloques!$A$2:$A$20,0))</f>
        <v>70–80</v>
      </c>
      <c r="M84" s="9" t="str">
        <f aca="false">INDEX(Bloques!$J$2:$J$20,MATCH($F84,Bloques!$A$2:$A$20,0))&amp;"–"&amp;INDEX(Bloques!$K$2:$K$20,MATCH($F84,Bloques!$A$2:$A$20,0))</f>
        <v>140–160</v>
      </c>
      <c r="N84" s="7"/>
    </row>
    <row r="85" customFormat="false" ht="15" hidden="false" customHeight="false" outlineLevel="0" collapsed="false">
      <c r="A85" s="8" t="str">
        <f aca="false">B85&amp;" "&amp;C85&amp;"′"</f>
        <v>HIIT 60′</v>
      </c>
      <c r="B85" s="7" t="s">
        <v>10</v>
      </c>
      <c r="C85" s="7" t="n">
        <v>60</v>
      </c>
      <c r="D85" s="7" t="n">
        <v>12</v>
      </c>
      <c r="E85" s="7" t="s">
        <v>102</v>
      </c>
      <c r="F85" s="7" t="s">
        <v>85</v>
      </c>
      <c r="G85" s="9" t="str">
        <f aca="false">INDEX(Bloques!$B$2:$B$20,MATCH($F85,Bloques!$A$2:$A$20,0))</f>
        <v>Vuelta a la calma</v>
      </c>
      <c r="H85" s="7" t="n">
        <v>9</v>
      </c>
      <c r="I85" s="8" t="n">
        <f aca="false">I84+H84</f>
        <v>51</v>
      </c>
      <c r="J85" s="9" t="str">
        <f aca="false">INDEX(Bloques!$C$2:$C$20,MATCH($F85,Bloques!$A$2:$A$20,0))</f>
        <v>Sentado</v>
      </c>
      <c r="K85" s="9" t="str">
        <f aca="false">INDEX(Bloques!$D$2:$D$20,MATCH($F85,Bloques!$A$2:$A$20,0))&amp;"–"&amp;INDEX(Bloques!$E$2:$E$20,MATCH($F85,Bloques!$A$2:$A$20,0))</f>
        <v>1–2</v>
      </c>
      <c r="L85" s="9" t="str">
        <f aca="false">INDEX(Bloques!$F$2:$F$20,MATCH($F85,Bloques!$A$2:$A$20,0))&amp;"–"&amp;INDEX(Bloques!$G$2:$G$20,MATCH($F85,Bloques!$A$2:$A$20,0))</f>
        <v>70–90</v>
      </c>
      <c r="M85" s="9" t="str">
        <f aca="false">INDEX(Bloques!$J$2:$J$20,MATCH($F85,Bloques!$A$2:$A$20,0))&amp;"–"&amp;INDEX(Bloques!$K$2:$K$20,MATCH($F85,Bloques!$A$2:$A$20,0))</f>
        <v>70–90</v>
      </c>
      <c r="N85" s="7"/>
    </row>
    <row r="86" customFormat="false" ht="15" hidden="false" customHeight="false" outlineLevel="0" collapsed="false">
      <c r="A86" s="8" t="str">
        <f aca="false">B86&amp;" "&amp;C86&amp;"′"</f>
        <v>Escalada 15′</v>
      </c>
      <c r="B86" s="7" t="s">
        <v>11</v>
      </c>
      <c r="C86" s="7" t="n">
        <v>15</v>
      </c>
      <c r="D86" s="7" t="n">
        <v>1</v>
      </c>
      <c r="E86" s="7" t="s">
        <v>40</v>
      </c>
      <c r="F86" s="7" t="s">
        <v>39</v>
      </c>
      <c r="G86" s="9" t="str">
        <f aca="false">INDEX(Bloques!$B$2:$B$20,MATCH($F86,Bloques!$A$2:$A$20,0))</f>
        <v>Calentamiento</v>
      </c>
      <c r="H86" s="7" t="n">
        <v>4</v>
      </c>
      <c r="I86" s="8" t="n">
        <v>0</v>
      </c>
      <c r="J86" s="9" t="str">
        <f aca="false">INDEX(Bloques!$C$2:$C$20,MATCH($F86,Bloques!$A$2:$A$20,0))</f>
        <v>Sentado</v>
      </c>
      <c r="K86" s="9" t="str">
        <f aca="false">INDEX(Bloques!$D$2:$D$20,MATCH($F86,Bloques!$A$2:$A$20,0))&amp;"–"&amp;INDEX(Bloques!$E$2:$E$20,MATCH($F86,Bloques!$A$2:$A$20,0))</f>
        <v>2–3</v>
      </c>
      <c r="L86" s="9" t="str">
        <f aca="false">INDEX(Bloques!$F$2:$F$20,MATCH($F86,Bloques!$A$2:$A$20,0))&amp;"–"&amp;INDEX(Bloques!$G$2:$G$20,MATCH($F86,Bloques!$A$2:$A$20,0))</f>
        <v>85–95</v>
      </c>
      <c r="M86" s="9" t="str">
        <f aca="false">INDEX(Bloques!$J$2:$J$20,MATCH($F86,Bloques!$A$2:$A$20,0))&amp;"–"&amp;INDEX(Bloques!$K$2:$K$20,MATCH($F86,Bloques!$A$2:$A$20,0))</f>
        <v>85–95</v>
      </c>
      <c r="N86" s="7"/>
    </row>
    <row r="87" customFormat="false" ht="15" hidden="false" customHeight="false" outlineLevel="0" collapsed="false">
      <c r="A87" s="8" t="str">
        <f aca="false">B87&amp;" "&amp;C87&amp;"′"</f>
        <v>Escalada 15′</v>
      </c>
      <c r="B87" s="7" t="s">
        <v>11</v>
      </c>
      <c r="C87" s="7" t="n">
        <v>15</v>
      </c>
      <c r="D87" s="7" t="n">
        <v>2</v>
      </c>
      <c r="E87" s="7" t="s">
        <v>122</v>
      </c>
      <c r="F87" s="7" t="s">
        <v>57</v>
      </c>
      <c r="G87" s="9" t="str">
        <f aca="false">INDEX(Bloques!$B$2:$B$20,MATCH($F87,Bloques!$A$2:$A$20,0))</f>
        <v>Subida sentado</v>
      </c>
      <c r="H87" s="7" t="n">
        <v>4</v>
      </c>
      <c r="I87" s="8" t="n">
        <f aca="false">I86+H86</f>
        <v>4</v>
      </c>
      <c r="J87" s="9" t="str">
        <f aca="false">INDEX(Bloques!$C$2:$C$20,MATCH($F87,Bloques!$A$2:$A$20,0))</f>
        <v>Sentado</v>
      </c>
      <c r="K87" s="9" t="str">
        <f aca="false">INDEX(Bloques!$D$2:$D$20,MATCH($F87,Bloques!$A$2:$A$20,0))&amp;"–"&amp;INDEX(Bloques!$E$2:$E$20,MATCH($F87,Bloques!$A$2:$A$20,0))</f>
        <v>6–7</v>
      </c>
      <c r="L87" s="9" t="str">
        <f aca="false">INDEX(Bloques!$F$2:$F$20,MATCH($F87,Bloques!$A$2:$A$20,0))&amp;"–"&amp;INDEX(Bloques!$G$2:$G$20,MATCH($F87,Bloques!$A$2:$A$20,0))</f>
        <v>70–80</v>
      </c>
      <c r="M87" s="9" t="str">
        <f aca="false">INDEX(Bloques!$J$2:$J$20,MATCH($F87,Bloques!$A$2:$A$20,0))&amp;"–"&amp;INDEX(Bloques!$K$2:$K$20,MATCH($F87,Bloques!$A$2:$A$20,0))</f>
        <v>140–160</v>
      </c>
      <c r="N87" s="7"/>
    </row>
    <row r="88" customFormat="false" ht="15" hidden="false" customHeight="false" outlineLevel="0" collapsed="false">
      <c r="A88" s="8" t="str">
        <f aca="false">B88&amp;" "&amp;C88&amp;"′"</f>
        <v>Escalada 15′</v>
      </c>
      <c r="B88" s="7" t="s">
        <v>11</v>
      </c>
      <c r="C88" s="7" t="n">
        <v>15</v>
      </c>
      <c r="D88" s="7" t="n">
        <v>3</v>
      </c>
      <c r="E88" s="7" t="s">
        <v>122</v>
      </c>
      <c r="F88" s="7" t="s">
        <v>65</v>
      </c>
      <c r="G88" s="9" t="str">
        <f aca="false">INDEX(Bloques!$B$2:$B$20,MATCH($F88,Bloques!$A$2:$A$20,0))</f>
        <v>Subida de pie (remate)</v>
      </c>
      <c r="H88" s="7" t="n">
        <v>4</v>
      </c>
      <c r="I88" s="8" t="n">
        <f aca="false">I87+H87</f>
        <v>8</v>
      </c>
      <c r="J88" s="9" t="str">
        <f aca="false">INDEX(Bloques!$C$2:$C$20,MATCH($F88,Bloques!$A$2:$A$20,0))</f>
        <v>De pie</v>
      </c>
      <c r="K88" s="9" t="str">
        <f aca="false">INDEX(Bloques!$D$2:$D$20,MATCH($F88,Bloques!$A$2:$A$20,0))&amp;"–"&amp;INDEX(Bloques!$E$2:$E$20,MATCH($F88,Bloques!$A$2:$A$20,0))</f>
        <v>8–9</v>
      </c>
      <c r="L88" s="9" t="str">
        <f aca="false">INDEX(Bloques!$F$2:$F$20,MATCH($F88,Bloques!$A$2:$A$20,0))&amp;"–"&amp;INDEX(Bloques!$G$2:$G$20,MATCH($F88,Bloques!$A$2:$A$20,0))</f>
        <v>60–70</v>
      </c>
      <c r="M88" s="9" t="str">
        <f aca="false">INDEX(Bloques!$J$2:$J$20,MATCH($F88,Bloques!$A$2:$A$20,0))&amp;"–"&amp;INDEX(Bloques!$K$2:$K$20,MATCH($F88,Bloques!$A$2:$A$20,0))</f>
        <v>120–140</v>
      </c>
      <c r="N88" s="7"/>
    </row>
    <row r="89" customFormat="false" ht="15" hidden="false" customHeight="false" outlineLevel="0" collapsed="false">
      <c r="A89" s="8" t="str">
        <f aca="false">B89&amp;" "&amp;C89&amp;"′"</f>
        <v>Escalada 15′</v>
      </c>
      <c r="B89" s="7" t="s">
        <v>11</v>
      </c>
      <c r="C89" s="7" t="n">
        <v>15</v>
      </c>
      <c r="D89" s="7" t="n">
        <v>4</v>
      </c>
      <c r="E89" s="7" t="s">
        <v>102</v>
      </c>
      <c r="F89" s="7" t="s">
        <v>85</v>
      </c>
      <c r="G89" s="9" t="str">
        <f aca="false">INDEX(Bloques!$B$2:$B$20,MATCH($F89,Bloques!$A$2:$A$20,0))</f>
        <v>Vuelta a la calma</v>
      </c>
      <c r="H89" s="7" t="n">
        <v>3</v>
      </c>
      <c r="I89" s="8" t="n">
        <f aca="false">I88+H88</f>
        <v>12</v>
      </c>
      <c r="J89" s="9" t="str">
        <f aca="false">INDEX(Bloques!$C$2:$C$20,MATCH($F89,Bloques!$A$2:$A$20,0))</f>
        <v>Sentado</v>
      </c>
      <c r="K89" s="9" t="str">
        <f aca="false">INDEX(Bloques!$D$2:$D$20,MATCH($F89,Bloques!$A$2:$A$20,0))&amp;"–"&amp;INDEX(Bloques!$E$2:$E$20,MATCH($F89,Bloques!$A$2:$A$20,0))</f>
        <v>1–2</v>
      </c>
      <c r="L89" s="9" t="str">
        <f aca="false">INDEX(Bloques!$F$2:$F$20,MATCH($F89,Bloques!$A$2:$A$20,0))&amp;"–"&amp;INDEX(Bloques!$G$2:$G$20,MATCH($F89,Bloques!$A$2:$A$20,0))</f>
        <v>70–90</v>
      </c>
      <c r="M89" s="9" t="str">
        <f aca="false">INDEX(Bloques!$J$2:$J$20,MATCH($F89,Bloques!$A$2:$A$20,0))&amp;"–"&amp;INDEX(Bloques!$K$2:$K$20,MATCH($F89,Bloques!$A$2:$A$20,0))</f>
        <v>70–90</v>
      </c>
      <c r="N89" s="7"/>
    </row>
    <row r="90" customFormat="false" ht="15" hidden="false" customHeight="false" outlineLevel="0" collapsed="false">
      <c r="A90" s="8" t="str">
        <f aca="false">B90&amp;" "&amp;C90&amp;"′"</f>
        <v>Escalada 30′</v>
      </c>
      <c r="B90" s="7" t="s">
        <v>11</v>
      </c>
      <c r="C90" s="7" t="n">
        <v>30</v>
      </c>
      <c r="D90" s="7" t="n">
        <v>1</v>
      </c>
      <c r="E90" s="7" t="s">
        <v>40</v>
      </c>
      <c r="F90" s="7" t="s">
        <v>39</v>
      </c>
      <c r="G90" s="9" t="str">
        <f aca="false">INDEX(Bloques!$B$2:$B$20,MATCH($F90,Bloques!$A$2:$A$20,0))</f>
        <v>Calentamiento</v>
      </c>
      <c r="H90" s="7" t="n">
        <v>6</v>
      </c>
      <c r="I90" s="8" t="n">
        <v>0</v>
      </c>
      <c r="J90" s="9" t="str">
        <f aca="false">INDEX(Bloques!$C$2:$C$20,MATCH($F90,Bloques!$A$2:$A$20,0))</f>
        <v>Sentado</v>
      </c>
      <c r="K90" s="9" t="str">
        <f aca="false">INDEX(Bloques!$D$2:$D$20,MATCH($F90,Bloques!$A$2:$A$20,0))&amp;"–"&amp;INDEX(Bloques!$E$2:$E$20,MATCH($F90,Bloques!$A$2:$A$20,0))</f>
        <v>2–3</v>
      </c>
      <c r="L90" s="9" t="str">
        <f aca="false">INDEX(Bloques!$F$2:$F$20,MATCH($F90,Bloques!$A$2:$A$20,0))&amp;"–"&amp;INDEX(Bloques!$G$2:$G$20,MATCH($F90,Bloques!$A$2:$A$20,0))</f>
        <v>85–95</v>
      </c>
      <c r="M90" s="9" t="str">
        <f aca="false">INDEX(Bloques!$J$2:$J$20,MATCH($F90,Bloques!$A$2:$A$20,0))&amp;"–"&amp;INDEX(Bloques!$K$2:$K$20,MATCH($F90,Bloques!$A$2:$A$20,0))</f>
        <v>85–95</v>
      </c>
      <c r="N90" s="7"/>
    </row>
    <row r="91" customFormat="false" ht="15" hidden="false" customHeight="false" outlineLevel="0" collapsed="false">
      <c r="A91" s="8" t="str">
        <f aca="false">B91&amp;" "&amp;C91&amp;"′"</f>
        <v>Escalada 30′</v>
      </c>
      <c r="B91" s="7" t="s">
        <v>11</v>
      </c>
      <c r="C91" s="7" t="n">
        <v>30</v>
      </c>
      <c r="D91" s="7" t="n">
        <v>2</v>
      </c>
      <c r="E91" s="7" t="s">
        <v>122</v>
      </c>
      <c r="F91" s="7" t="s">
        <v>57</v>
      </c>
      <c r="G91" s="9" t="str">
        <f aca="false">INDEX(Bloques!$B$2:$B$20,MATCH($F91,Bloques!$A$2:$A$20,0))</f>
        <v>Subida sentado</v>
      </c>
      <c r="H91" s="7" t="n">
        <v>4</v>
      </c>
      <c r="I91" s="8" t="n">
        <f aca="false">I90+H90</f>
        <v>6</v>
      </c>
      <c r="J91" s="9" t="str">
        <f aca="false">INDEX(Bloques!$C$2:$C$20,MATCH($F91,Bloques!$A$2:$A$20,0))</f>
        <v>Sentado</v>
      </c>
      <c r="K91" s="9" t="str">
        <f aca="false">INDEX(Bloques!$D$2:$D$20,MATCH($F91,Bloques!$A$2:$A$20,0))&amp;"–"&amp;INDEX(Bloques!$E$2:$E$20,MATCH($F91,Bloques!$A$2:$A$20,0))</f>
        <v>6–7</v>
      </c>
      <c r="L91" s="9" t="str">
        <f aca="false">INDEX(Bloques!$F$2:$F$20,MATCH($F91,Bloques!$A$2:$A$20,0))&amp;"–"&amp;INDEX(Bloques!$G$2:$G$20,MATCH($F91,Bloques!$A$2:$A$20,0))</f>
        <v>70–80</v>
      </c>
      <c r="M91" s="9" t="str">
        <f aca="false">INDEX(Bloques!$J$2:$J$20,MATCH($F91,Bloques!$A$2:$A$20,0))&amp;"–"&amp;INDEX(Bloques!$K$2:$K$20,MATCH($F91,Bloques!$A$2:$A$20,0))</f>
        <v>140–160</v>
      </c>
      <c r="N91" s="7"/>
    </row>
    <row r="92" customFormat="false" ht="15" hidden="false" customHeight="false" outlineLevel="0" collapsed="false">
      <c r="A92" s="8" t="str">
        <f aca="false">B92&amp;" "&amp;C92&amp;"′"</f>
        <v>Escalada 30′</v>
      </c>
      <c r="B92" s="7" t="s">
        <v>11</v>
      </c>
      <c r="C92" s="7" t="n">
        <v>30</v>
      </c>
      <c r="D92" s="7" t="n">
        <v>3</v>
      </c>
      <c r="E92" s="7" t="s">
        <v>122</v>
      </c>
      <c r="F92" s="7" t="s">
        <v>61</v>
      </c>
      <c r="G92" s="9" t="str">
        <f aca="false">INDEX(Bloques!$B$2:$B$20,MATCH($F92,Bloques!$A$2:$A$20,0))</f>
        <v>Subida de pie</v>
      </c>
      <c r="H92" s="7" t="n">
        <v>4</v>
      </c>
      <c r="I92" s="8" t="n">
        <f aca="false">I91+H91</f>
        <v>10</v>
      </c>
      <c r="J92" s="9" t="str">
        <f aca="false">INDEX(Bloques!$C$2:$C$20,MATCH($F92,Bloques!$A$2:$A$20,0))</f>
        <v>De pie</v>
      </c>
      <c r="K92" s="9" t="str">
        <f aca="false">INDEX(Bloques!$D$2:$D$20,MATCH($F92,Bloques!$A$2:$A$20,0))&amp;"–"&amp;INDEX(Bloques!$E$2:$E$20,MATCH($F92,Bloques!$A$2:$A$20,0))</f>
        <v>7–8</v>
      </c>
      <c r="L92" s="9" t="str">
        <f aca="false">INDEX(Bloques!$F$2:$F$20,MATCH($F92,Bloques!$A$2:$A$20,0))&amp;"–"&amp;INDEX(Bloques!$G$2:$G$20,MATCH($F92,Bloques!$A$2:$A$20,0))</f>
        <v>60–75</v>
      </c>
      <c r="M92" s="9" t="str">
        <f aca="false">INDEX(Bloques!$J$2:$J$20,MATCH($F92,Bloques!$A$2:$A$20,0))&amp;"–"&amp;INDEX(Bloques!$K$2:$K$20,MATCH($F92,Bloques!$A$2:$A$20,0))</f>
        <v>120–150</v>
      </c>
      <c r="N92" s="7"/>
    </row>
    <row r="93" customFormat="false" ht="15" hidden="false" customHeight="false" outlineLevel="0" collapsed="false">
      <c r="A93" s="8" t="str">
        <f aca="false">B93&amp;" "&amp;C93&amp;"′"</f>
        <v>Escalada 30′</v>
      </c>
      <c r="B93" s="7" t="s">
        <v>11</v>
      </c>
      <c r="C93" s="7" t="n">
        <v>30</v>
      </c>
      <c r="D93" s="7" t="n">
        <v>4</v>
      </c>
      <c r="E93" s="7" t="s">
        <v>123</v>
      </c>
      <c r="F93" s="7" t="s">
        <v>82</v>
      </c>
      <c r="G93" s="9" t="str">
        <f aca="false">INDEX(Bloques!$B$2:$B$20,MATCH($F93,Bloques!$A$2:$A$20,0))</f>
        <v>Recuperación</v>
      </c>
      <c r="H93" s="7" t="n">
        <v>3</v>
      </c>
      <c r="I93" s="8" t="n">
        <f aca="false">I92+H92</f>
        <v>14</v>
      </c>
      <c r="J93" s="9" t="str">
        <f aca="false">INDEX(Bloques!$C$2:$C$20,MATCH($F93,Bloques!$A$2:$A$20,0))</f>
        <v>Sentado</v>
      </c>
      <c r="K93" s="9" t="str">
        <f aca="false">INDEX(Bloques!$D$2:$D$20,MATCH($F93,Bloques!$A$2:$A$20,0))&amp;"–"&amp;INDEX(Bloques!$E$2:$E$20,MATCH($F93,Bloques!$A$2:$A$20,0))</f>
        <v>2–3</v>
      </c>
      <c r="L93" s="9" t="str">
        <f aca="false">INDEX(Bloques!$F$2:$F$20,MATCH($F93,Bloques!$A$2:$A$20,0))&amp;"–"&amp;INDEX(Bloques!$G$2:$G$20,MATCH($F93,Bloques!$A$2:$A$20,0))</f>
        <v>80–90</v>
      </c>
      <c r="M93" s="9" t="str">
        <f aca="false">INDEX(Bloques!$J$2:$J$20,MATCH($F93,Bloques!$A$2:$A$20,0))&amp;"–"&amp;INDEX(Bloques!$K$2:$K$20,MATCH($F93,Bloques!$A$2:$A$20,0))</f>
        <v>80–90</v>
      </c>
      <c r="N93" s="7"/>
    </row>
    <row r="94" customFormat="false" ht="15" hidden="false" customHeight="false" outlineLevel="0" collapsed="false">
      <c r="A94" s="8" t="str">
        <f aca="false">B94&amp;" "&amp;C94&amp;"′"</f>
        <v>Escalada 30′</v>
      </c>
      <c r="B94" s="7" t="s">
        <v>11</v>
      </c>
      <c r="C94" s="7" t="n">
        <v>30</v>
      </c>
      <c r="D94" s="7" t="n">
        <v>5</v>
      </c>
      <c r="E94" s="7" t="s">
        <v>124</v>
      </c>
      <c r="F94" s="7" t="s">
        <v>57</v>
      </c>
      <c r="G94" s="9" t="str">
        <f aca="false">INDEX(Bloques!$B$2:$B$20,MATCH($F94,Bloques!$A$2:$A$20,0))</f>
        <v>Subida sentado</v>
      </c>
      <c r="H94" s="7" t="n">
        <v>4</v>
      </c>
      <c r="I94" s="8" t="n">
        <f aca="false">I93+H93</f>
        <v>17</v>
      </c>
      <c r="J94" s="9" t="str">
        <f aca="false">INDEX(Bloques!$C$2:$C$20,MATCH($F94,Bloques!$A$2:$A$20,0))</f>
        <v>Sentado</v>
      </c>
      <c r="K94" s="9" t="str">
        <f aca="false">INDEX(Bloques!$D$2:$D$20,MATCH($F94,Bloques!$A$2:$A$20,0))&amp;"–"&amp;INDEX(Bloques!$E$2:$E$20,MATCH($F94,Bloques!$A$2:$A$20,0))</f>
        <v>6–7</v>
      </c>
      <c r="L94" s="9" t="str">
        <f aca="false">INDEX(Bloques!$F$2:$F$20,MATCH($F94,Bloques!$A$2:$A$20,0))&amp;"–"&amp;INDEX(Bloques!$G$2:$G$20,MATCH($F94,Bloques!$A$2:$A$20,0))</f>
        <v>70–80</v>
      </c>
      <c r="M94" s="9" t="str">
        <f aca="false">INDEX(Bloques!$J$2:$J$20,MATCH($F94,Bloques!$A$2:$A$20,0))&amp;"–"&amp;INDEX(Bloques!$K$2:$K$20,MATCH($F94,Bloques!$A$2:$A$20,0))</f>
        <v>140–160</v>
      </c>
      <c r="N94" s="7"/>
    </row>
    <row r="95" customFormat="false" ht="15" hidden="false" customHeight="false" outlineLevel="0" collapsed="false">
      <c r="A95" s="8" t="str">
        <f aca="false">B95&amp;" "&amp;C95&amp;"′"</f>
        <v>Escalada 30′</v>
      </c>
      <c r="B95" s="7" t="s">
        <v>11</v>
      </c>
      <c r="C95" s="7" t="n">
        <v>30</v>
      </c>
      <c r="D95" s="7" t="n">
        <v>6</v>
      </c>
      <c r="E95" s="7" t="s">
        <v>124</v>
      </c>
      <c r="F95" s="7" t="s">
        <v>65</v>
      </c>
      <c r="G95" s="9" t="str">
        <f aca="false">INDEX(Bloques!$B$2:$B$20,MATCH($F95,Bloques!$A$2:$A$20,0))</f>
        <v>Subida de pie (remate)</v>
      </c>
      <c r="H95" s="7" t="n">
        <v>4</v>
      </c>
      <c r="I95" s="8" t="n">
        <f aca="false">I94+H94</f>
        <v>21</v>
      </c>
      <c r="J95" s="9" t="str">
        <f aca="false">INDEX(Bloques!$C$2:$C$20,MATCH($F95,Bloques!$A$2:$A$20,0))</f>
        <v>De pie</v>
      </c>
      <c r="K95" s="9" t="str">
        <f aca="false">INDEX(Bloques!$D$2:$D$20,MATCH($F95,Bloques!$A$2:$A$20,0))&amp;"–"&amp;INDEX(Bloques!$E$2:$E$20,MATCH($F95,Bloques!$A$2:$A$20,0))</f>
        <v>8–9</v>
      </c>
      <c r="L95" s="9" t="str">
        <f aca="false">INDEX(Bloques!$F$2:$F$20,MATCH($F95,Bloques!$A$2:$A$20,0))&amp;"–"&amp;INDEX(Bloques!$G$2:$G$20,MATCH($F95,Bloques!$A$2:$A$20,0))</f>
        <v>60–70</v>
      </c>
      <c r="M95" s="9" t="str">
        <f aca="false">INDEX(Bloques!$J$2:$J$20,MATCH($F95,Bloques!$A$2:$A$20,0))&amp;"–"&amp;INDEX(Bloques!$K$2:$K$20,MATCH($F95,Bloques!$A$2:$A$20,0))</f>
        <v>120–140</v>
      </c>
      <c r="N95" s="7"/>
    </row>
    <row r="96" customFormat="false" ht="15" hidden="false" customHeight="false" outlineLevel="0" collapsed="false">
      <c r="A96" s="8" t="str">
        <f aca="false">B96&amp;" "&amp;C96&amp;"′"</f>
        <v>Escalada 30′</v>
      </c>
      <c r="B96" s="7" t="s">
        <v>11</v>
      </c>
      <c r="C96" s="7" t="n">
        <v>30</v>
      </c>
      <c r="D96" s="7" t="n">
        <v>7</v>
      </c>
      <c r="E96" s="7" t="s">
        <v>102</v>
      </c>
      <c r="F96" s="7" t="s">
        <v>85</v>
      </c>
      <c r="G96" s="9" t="str">
        <f aca="false">INDEX(Bloques!$B$2:$B$20,MATCH($F96,Bloques!$A$2:$A$20,0))</f>
        <v>Vuelta a la calma</v>
      </c>
      <c r="H96" s="7" t="n">
        <v>5</v>
      </c>
      <c r="I96" s="8" t="n">
        <f aca="false">I95+H95</f>
        <v>25</v>
      </c>
      <c r="J96" s="9" t="str">
        <f aca="false">INDEX(Bloques!$C$2:$C$20,MATCH($F96,Bloques!$A$2:$A$20,0))</f>
        <v>Sentado</v>
      </c>
      <c r="K96" s="9" t="str">
        <f aca="false">INDEX(Bloques!$D$2:$D$20,MATCH($F96,Bloques!$A$2:$A$20,0))&amp;"–"&amp;INDEX(Bloques!$E$2:$E$20,MATCH($F96,Bloques!$A$2:$A$20,0))</f>
        <v>1–2</v>
      </c>
      <c r="L96" s="9" t="str">
        <f aca="false">INDEX(Bloques!$F$2:$F$20,MATCH($F96,Bloques!$A$2:$A$20,0))&amp;"–"&amp;INDEX(Bloques!$G$2:$G$20,MATCH($F96,Bloques!$A$2:$A$20,0))</f>
        <v>70–90</v>
      </c>
      <c r="M96" s="9" t="str">
        <f aca="false">INDEX(Bloques!$J$2:$J$20,MATCH($F96,Bloques!$A$2:$A$20,0))&amp;"–"&amp;INDEX(Bloques!$K$2:$K$20,MATCH($F96,Bloques!$A$2:$A$20,0))</f>
        <v>70–90</v>
      </c>
      <c r="N96" s="7"/>
    </row>
    <row r="97" customFormat="false" ht="15" hidden="false" customHeight="false" outlineLevel="0" collapsed="false">
      <c r="A97" s="8" t="str">
        <f aca="false">B97&amp;" "&amp;C97&amp;"′"</f>
        <v>Escalada 45′</v>
      </c>
      <c r="B97" s="7" t="s">
        <v>11</v>
      </c>
      <c r="C97" s="7" t="n">
        <v>45</v>
      </c>
      <c r="D97" s="7" t="n">
        <v>1</v>
      </c>
      <c r="E97" s="7" t="s">
        <v>40</v>
      </c>
      <c r="F97" s="7" t="s">
        <v>39</v>
      </c>
      <c r="G97" s="9" t="str">
        <f aca="false">INDEX(Bloques!$B$2:$B$20,MATCH($F97,Bloques!$A$2:$A$20,0))</f>
        <v>Calentamiento</v>
      </c>
      <c r="H97" s="7" t="n">
        <v>6</v>
      </c>
      <c r="I97" s="8" t="n">
        <v>0</v>
      </c>
      <c r="J97" s="9" t="str">
        <f aca="false">INDEX(Bloques!$C$2:$C$20,MATCH($F97,Bloques!$A$2:$A$20,0))</f>
        <v>Sentado</v>
      </c>
      <c r="K97" s="9" t="str">
        <f aca="false">INDEX(Bloques!$D$2:$D$20,MATCH($F97,Bloques!$A$2:$A$20,0))&amp;"–"&amp;INDEX(Bloques!$E$2:$E$20,MATCH($F97,Bloques!$A$2:$A$20,0))</f>
        <v>2–3</v>
      </c>
      <c r="L97" s="9" t="str">
        <f aca="false">INDEX(Bloques!$F$2:$F$20,MATCH($F97,Bloques!$A$2:$A$20,0))&amp;"–"&amp;INDEX(Bloques!$G$2:$G$20,MATCH($F97,Bloques!$A$2:$A$20,0))</f>
        <v>85–95</v>
      </c>
      <c r="M97" s="9" t="str">
        <f aca="false">INDEX(Bloques!$J$2:$J$20,MATCH($F97,Bloques!$A$2:$A$20,0))&amp;"–"&amp;INDEX(Bloques!$K$2:$K$20,MATCH($F97,Bloques!$A$2:$A$20,0))</f>
        <v>85–95</v>
      </c>
      <c r="N97" s="7"/>
    </row>
    <row r="98" customFormat="false" ht="15" hidden="false" customHeight="false" outlineLevel="0" collapsed="false">
      <c r="A98" s="8" t="str">
        <f aca="false">B98&amp;" "&amp;C98&amp;"′"</f>
        <v>Escalada 45′</v>
      </c>
      <c r="B98" s="7" t="s">
        <v>11</v>
      </c>
      <c r="C98" s="7" t="n">
        <v>45</v>
      </c>
      <c r="D98" s="7" t="n">
        <v>2</v>
      </c>
      <c r="E98" s="7" t="s">
        <v>125</v>
      </c>
      <c r="F98" s="7" t="s">
        <v>45</v>
      </c>
      <c r="G98" s="9" t="str">
        <f aca="false">INDEX(Bloques!$B$2:$B$20,MATCH($F98,Bloques!$A$2:$A$20,0))</f>
        <v>Llano</v>
      </c>
      <c r="H98" s="7" t="n">
        <v>4</v>
      </c>
      <c r="I98" s="8" t="n">
        <f aca="false">I97+H97</f>
        <v>6</v>
      </c>
      <c r="J98" s="9" t="str">
        <f aca="false">INDEX(Bloques!$C$2:$C$20,MATCH($F98,Bloques!$A$2:$A$20,0))</f>
        <v>Sentado</v>
      </c>
      <c r="K98" s="9" t="str">
        <f aca="false">INDEX(Bloques!$D$2:$D$20,MATCH($F98,Bloques!$A$2:$A$20,0))&amp;"–"&amp;INDEX(Bloques!$E$2:$E$20,MATCH($F98,Bloques!$A$2:$A$20,0))</f>
        <v>3–4</v>
      </c>
      <c r="L98" s="9" t="str">
        <f aca="false">INDEX(Bloques!$F$2:$F$20,MATCH($F98,Bloques!$A$2:$A$20,0))&amp;"–"&amp;INDEX(Bloques!$G$2:$G$20,MATCH($F98,Bloques!$A$2:$A$20,0))</f>
        <v>90–100</v>
      </c>
      <c r="M98" s="9" t="str">
        <f aca="false">INDEX(Bloques!$J$2:$J$20,MATCH($F98,Bloques!$A$2:$A$20,0))&amp;"–"&amp;INDEX(Bloques!$K$2:$K$20,MATCH($F98,Bloques!$A$2:$A$20,0))</f>
        <v>90–100</v>
      </c>
      <c r="N98" s="7"/>
    </row>
    <row r="99" customFormat="false" ht="15" hidden="false" customHeight="false" outlineLevel="0" collapsed="false">
      <c r="A99" s="8" t="str">
        <f aca="false">B99&amp;" "&amp;C99&amp;"′"</f>
        <v>Escalada 45′</v>
      </c>
      <c r="B99" s="7" t="s">
        <v>11</v>
      </c>
      <c r="C99" s="7" t="n">
        <v>45</v>
      </c>
      <c r="D99" s="7" t="n">
        <v>3</v>
      </c>
      <c r="E99" s="7" t="s">
        <v>122</v>
      </c>
      <c r="F99" s="7" t="s">
        <v>57</v>
      </c>
      <c r="G99" s="9" t="str">
        <f aca="false">INDEX(Bloques!$B$2:$B$20,MATCH($F99,Bloques!$A$2:$A$20,0))</f>
        <v>Subida sentado</v>
      </c>
      <c r="H99" s="7" t="n">
        <v>4</v>
      </c>
      <c r="I99" s="8" t="n">
        <f aca="false">I98+H98</f>
        <v>10</v>
      </c>
      <c r="J99" s="9" t="str">
        <f aca="false">INDEX(Bloques!$C$2:$C$20,MATCH($F99,Bloques!$A$2:$A$20,0))</f>
        <v>Sentado</v>
      </c>
      <c r="K99" s="9" t="str">
        <f aca="false">INDEX(Bloques!$D$2:$D$20,MATCH($F99,Bloques!$A$2:$A$20,0))&amp;"–"&amp;INDEX(Bloques!$E$2:$E$20,MATCH($F99,Bloques!$A$2:$A$20,0))</f>
        <v>6–7</v>
      </c>
      <c r="L99" s="9" t="str">
        <f aca="false">INDEX(Bloques!$F$2:$F$20,MATCH($F99,Bloques!$A$2:$A$20,0))&amp;"–"&amp;INDEX(Bloques!$G$2:$G$20,MATCH($F99,Bloques!$A$2:$A$20,0))</f>
        <v>70–80</v>
      </c>
      <c r="M99" s="9" t="str">
        <f aca="false">INDEX(Bloques!$J$2:$J$20,MATCH($F99,Bloques!$A$2:$A$20,0))&amp;"–"&amp;INDEX(Bloques!$K$2:$K$20,MATCH($F99,Bloques!$A$2:$A$20,0))</f>
        <v>140–160</v>
      </c>
      <c r="N99" s="7"/>
    </row>
    <row r="100" customFormat="false" ht="15" hidden="false" customHeight="false" outlineLevel="0" collapsed="false">
      <c r="A100" s="8" t="str">
        <f aca="false">B100&amp;" "&amp;C100&amp;"′"</f>
        <v>Escalada 45′</v>
      </c>
      <c r="B100" s="7" t="s">
        <v>11</v>
      </c>
      <c r="C100" s="7" t="n">
        <v>45</v>
      </c>
      <c r="D100" s="7" t="n">
        <v>4</v>
      </c>
      <c r="E100" s="7" t="s">
        <v>122</v>
      </c>
      <c r="F100" s="7" t="s">
        <v>61</v>
      </c>
      <c r="G100" s="9" t="str">
        <f aca="false">INDEX(Bloques!$B$2:$B$20,MATCH($F100,Bloques!$A$2:$A$20,0))</f>
        <v>Subida de pie</v>
      </c>
      <c r="H100" s="7" t="n">
        <v>4</v>
      </c>
      <c r="I100" s="8" t="n">
        <f aca="false">I99+H99</f>
        <v>14</v>
      </c>
      <c r="J100" s="9" t="str">
        <f aca="false">INDEX(Bloques!$C$2:$C$20,MATCH($F100,Bloques!$A$2:$A$20,0))</f>
        <v>De pie</v>
      </c>
      <c r="K100" s="9" t="str">
        <f aca="false">INDEX(Bloques!$D$2:$D$20,MATCH($F100,Bloques!$A$2:$A$20,0))&amp;"–"&amp;INDEX(Bloques!$E$2:$E$20,MATCH($F100,Bloques!$A$2:$A$20,0))</f>
        <v>7–8</v>
      </c>
      <c r="L100" s="9" t="str">
        <f aca="false">INDEX(Bloques!$F$2:$F$20,MATCH($F100,Bloques!$A$2:$A$20,0))&amp;"–"&amp;INDEX(Bloques!$G$2:$G$20,MATCH($F100,Bloques!$A$2:$A$20,0))</f>
        <v>60–75</v>
      </c>
      <c r="M100" s="9" t="str">
        <f aca="false">INDEX(Bloques!$J$2:$J$20,MATCH($F100,Bloques!$A$2:$A$20,0))&amp;"–"&amp;INDEX(Bloques!$K$2:$K$20,MATCH($F100,Bloques!$A$2:$A$20,0))</f>
        <v>120–150</v>
      </c>
      <c r="N100" s="7"/>
    </row>
    <row r="101" customFormat="false" ht="15" hidden="false" customHeight="false" outlineLevel="0" collapsed="false">
      <c r="A101" s="8" t="str">
        <f aca="false">B101&amp;" "&amp;C101&amp;"′"</f>
        <v>Escalada 45′</v>
      </c>
      <c r="B101" s="7" t="s">
        <v>11</v>
      </c>
      <c r="C101" s="7" t="n">
        <v>45</v>
      </c>
      <c r="D101" s="7" t="n">
        <v>5</v>
      </c>
      <c r="E101" s="7" t="s">
        <v>123</v>
      </c>
      <c r="F101" s="7" t="s">
        <v>82</v>
      </c>
      <c r="G101" s="9" t="str">
        <f aca="false">INDEX(Bloques!$B$2:$B$20,MATCH($F101,Bloques!$A$2:$A$20,0))</f>
        <v>Recuperación</v>
      </c>
      <c r="H101" s="7" t="n">
        <v>3</v>
      </c>
      <c r="I101" s="8" t="n">
        <f aca="false">I100+H100</f>
        <v>18</v>
      </c>
      <c r="J101" s="9" t="str">
        <f aca="false">INDEX(Bloques!$C$2:$C$20,MATCH($F101,Bloques!$A$2:$A$20,0))</f>
        <v>Sentado</v>
      </c>
      <c r="K101" s="9" t="str">
        <f aca="false">INDEX(Bloques!$D$2:$D$20,MATCH($F101,Bloques!$A$2:$A$20,0))&amp;"–"&amp;INDEX(Bloques!$E$2:$E$20,MATCH($F101,Bloques!$A$2:$A$20,0))</f>
        <v>2–3</v>
      </c>
      <c r="L101" s="9" t="str">
        <f aca="false">INDEX(Bloques!$F$2:$F$20,MATCH($F101,Bloques!$A$2:$A$20,0))&amp;"–"&amp;INDEX(Bloques!$G$2:$G$20,MATCH($F101,Bloques!$A$2:$A$20,0))</f>
        <v>80–90</v>
      </c>
      <c r="M101" s="9" t="str">
        <f aca="false">INDEX(Bloques!$J$2:$J$20,MATCH($F101,Bloques!$A$2:$A$20,0))&amp;"–"&amp;INDEX(Bloques!$K$2:$K$20,MATCH($F101,Bloques!$A$2:$A$20,0))</f>
        <v>80–90</v>
      </c>
      <c r="N101" s="7"/>
    </row>
    <row r="102" customFormat="false" ht="15" hidden="false" customHeight="false" outlineLevel="0" collapsed="false">
      <c r="A102" s="8" t="str">
        <f aca="false">B102&amp;" "&amp;C102&amp;"′"</f>
        <v>Escalada 45′</v>
      </c>
      <c r="B102" s="7" t="s">
        <v>11</v>
      </c>
      <c r="C102" s="7" t="n">
        <v>45</v>
      </c>
      <c r="D102" s="7" t="n">
        <v>6</v>
      </c>
      <c r="E102" s="7" t="s">
        <v>124</v>
      </c>
      <c r="F102" s="7" t="s">
        <v>57</v>
      </c>
      <c r="G102" s="9" t="str">
        <f aca="false">INDEX(Bloques!$B$2:$B$20,MATCH($F102,Bloques!$A$2:$A$20,0))</f>
        <v>Subida sentado</v>
      </c>
      <c r="H102" s="7" t="n">
        <v>4</v>
      </c>
      <c r="I102" s="8" t="n">
        <f aca="false">I101+H101</f>
        <v>21</v>
      </c>
      <c r="J102" s="9" t="str">
        <f aca="false">INDEX(Bloques!$C$2:$C$20,MATCH($F102,Bloques!$A$2:$A$20,0))</f>
        <v>Sentado</v>
      </c>
      <c r="K102" s="9" t="str">
        <f aca="false">INDEX(Bloques!$D$2:$D$20,MATCH($F102,Bloques!$A$2:$A$20,0))&amp;"–"&amp;INDEX(Bloques!$E$2:$E$20,MATCH($F102,Bloques!$A$2:$A$20,0))</f>
        <v>6–7</v>
      </c>
      <c r="L102" s="9" t="str">
        <f aca="false">INDEX(Bloques!$F$2:$F$20,MATCH($F102,Bloques!$A$2:$A$20,0))&amp;"–"&amp;INDEX(Bloques!$G$2:$G$20,MATCH($F102,Bloques!$A$2:$A$20,0))</f>
        <v>70–80</v>
      </c>
      <c r="M102" s="9" t="str">
        <f aca="false">INDEX(Bloques!$J$2:$J$20,MATCH($F102,Bloques!$A$2:$A$20,0))&amp;"–"&amp;INDEX(Bloques!$K$2:$K$20,MATCH($F102,Bloques!$A$2:$A$20,0))</f>
        <v>140–160</v>
      </c>
      <c r="N102" s="7"/>
    </row>
    <row r="103" customFormat="false" ht="15" hidden="false" customHeight="false" outlineLevel="0" collapsed="false">
      <c r="A103" s="8" t="str">
        <f aca="false">B103&amp;" "&amp;C103&amp;"′"</f>
        <v>Escalada 45′</v>
      </c>
      <c r="B103" s="7" t="s">
        <v>11</v>
      </c>
      <c r="C103" s="7" t="n">
        <v>45</v>
      </c>
      <c r="D103" s="7" t="n">
        <v>7</v>
      </c>
      <c r="E103" s="7" t="s">
        <v>124</v>
      </c>
      <c r="F103" s="7" t="s">
        <v>61</v>
      </c>
      <c r="G103" s="9" t="str">
        <f aca="false">INDEX(Bloques!$B$2:$B$20,MATCH($F103,Bloques!$A$2:$A$20,0))</f>
        <v>Subida de pie</v>
      </c>
      <c r="H103" s="7" t="n">
        <v>4</v>
      </c>
      <c r="I103" s="8" t="n">
        <f aca="false">I102+H102</f>
        <v>25</v>
      </c>
      <c r="J103" s="9" t="str">
        <f aca="false">INDEX(Bloques!$C$2:$C$20,MATCH($F103,Bloques!$A$2:$A$20,0))</f>
        <v>De pie</v>
      </c>
      <c r="K103" s="9" t="str">
        <f aca="false">INDEX(Bloques!$D$2:$D$20,MATCH($F103,Bloques!$A$2:$A$20,0))&amp;"–"&amp;INDEX(Bloques!$E$2:$E$20,MATCH($F103,Bloques!$A$2:$A$20,0))</f>
        <v>7–8</v>
      </c>
      <c r="L103" s="9" t="str">
        <f aca="false">INDEX(Bloques!$F$2:$F$20,MATCH($F103,Bloques!$A$2:$A$20,0))&amp;"–"&amp;INDEX(Bloques!$G$2:$G$20,MATCH($F103,Bloques!$A$2:$A$20,0))</f>
        <v>60–75</v>
      </c>
      <c r="M103" s="9" t="str">
        <f aca="false">INDEX(Bloques!$J$2:$J$20,MATCH($F103,Bloques!$A$2:$A$20,0))&amp;"–"&amp;INDEX(Bloques!$K$2:$K$20,MATCH($F103,Bloques!$A$2:$A$20,0))</f>
        <v>120–150</v>
      </c>
      <c r="N103" s="7"/>
    </row>
    <row r="104" customFormat="false" ht="15" hidden="false" customHeight="false" outlineLevel="0" collapsed="false">
      <c r="A104" s="8" t="str">
        <f aca="false">B104&amp;" "&amp;C104&amp;"′"</f>
        <v>Escalada 45′</v>
      </c>
      <c r="B104" s="7" t="s">
        <v>11</v>
      </c>
      <c r="C104" s="7" t="n">
        <v>45</v>
      </c>
      <c r="D104" s="7" t="n">
        <v>8</v>
      </c>
      <c r="E104" s="7" t="s">
        <v>123</v>
      </c>
      <c r="F104" s="7" t="s">
        <v>82</v>
      </c>
      <c r="G104" s="9" t="str">
        <f aca="false">INDEX(Bloques!$B$2:$B$20,MATCH($F104,Bloques!$A$2:$A$20,0))</f>
        <v>Recuperación</v>
      </c>
      <c r="H104" s="7" t="n">
        <v>3</v>
      </c>
      <c r="I104" s="8" t="n">
        <f aca="false">I103+H103</f>
        <v>29</v>
      </c>
      <c r="J104" s="9" t="str">
        <f aca="false">INDEX(Bloques!$C$2:$C$20,MATCH($F104,Bloques!$A$2:$A$20,0))</f>
        <v>Sentado</v>
      </c>
      <c r="K104" s="9" t="str">
        <f aca="false">INDEX(Bloques!$D$2:$D$20,MATCH($F104,Bloques!$A$2:$A$20,0))&amp;"–"&amp;INDEX(Bloques!$E$2:$E$20,MATCH($F104,Bloques!$A$2:$A$20,0))</f>
        <v>2–3</v>
      </c>
      <c r="L104" s="9" t="str">
        <f aca="false">INDEX(Bloques!$F$2:$F$20,MATCH($F104,Bloques!$A$2:$A$20,0))&amp;"–"&amp;INDEX(Bloques!$G$2:$G$20,MATCH($F104,Bloques!$A$2:$A$20,0))</f>
        <v>80–90</v>
      </c>
      <c r="M104" s="9" t="str">
        <f aca="false">INDEX(Bloques!$J$2:$J$20,MATCH($F104,Bloques!$A$2:$A$20,0))&amp;"–"&amp;INDEX(Bloques!$K$2:$K$20,MATCH($F104,Bloques!$A$2:$A$20,0))</f>
        <v>80–90</v>
      </c>
      <c r="N104" s="7"/>
    </row>
    <row r="105" customFormat="false" ht="15" hidden="false" customHeight="false" outlineLevel="0" collapsed="false">
      <c r="A105" s="8" t="str">
        <f aca="false">B105&amp;" "&amp;C105&amp;"′"</f>
        <v>Escalada 45′</v>
      </c>
      <c r="B105" s="7" t="s">
        <v>11</v>
      </c>
      <c r="C105" s="7" t="n">
        <v>45</v>
      </c>
      <c r="D105" s="7" t="n">
        <v>9</v>
      </c>
      <c r="E105" s="7" t="s">
        <v>126</v>
      </c>
      <c r="F105" s="7" t="s">
        <v>57</v>
      </c>
      <c r="G105" s="9" t="str">
        <f aca="false">INDEX(Bloques!$B$2:$B$20,MATCH($F105,Bloques!$A$2:$A$20,0))</f>
        <v>Subida sentado</v>
      </c>
      <c r="H105" s="7" t="n">
        <v>4</v>
      </c>
      <c r="I105" s="8" t="n">
        <f aca="false">I104+H104</f>
        <v>32</v>
      </c>
      <c r="J105" s="9" t="str">
        <f aca="false">INDEX(Bloques!$C$2:$C$20,MATCH($F105,Bloques!$A$2:$A$20,0))</f>
        <v>Sentado</v>
      </c>
      <c r="K105" s="9" t="str">
        <f aca="false">INDEX(Bloques!$D$2:$D$20,MATCH($F105,Bloques!$A$2:$A$20,0))&amp;"–"&amp;INDEX(Bloques!$E$2:$E$20,MATCH($F105,Bloques!$A$2:$A$20,0))</f>
        <v>6–7</v>
      </c>
      <c r="L105" s="9" t="str">
        <f aca="false">INDEX(Bloques!$F$2:$F$20,MATCH($F105,Bloques!$A$2:$A$20,0))&amp;"–"&amp;INDEX(Bloques!$G$2:$G$20,MATCH($F105,Bloques!$A$2:$A$20,0))</f>
        <v>70–80</v>
      </c>
      <c r="M105" s="9" t="str">
        <f aca="false">INDEX(Bloques!$J$2:$J$20,MATCH($F105,Bloques!$A$2:$A$20,0))&amp;"–"&amp;INDEX(Bloques!$K$2:$K$20,MATCH($F105,Bloques!$A$2:$A$20,0))</f>
        <v>140–160</v>
      </c>
      <c r="N105" s="7"/>
    </row>
    <row r="106" customFormat="false" ht="15" hidden="false" customHeight="false" outlineLevel="0" collapsed="false">
      <c r="A106" s="8" t="str">
        <f aca="false">B106&amp;" "&amp;C106&amp;"′"</f>
        <v>Escalada 45′</v>
      </c>
      <c r="B106" s="7" t="s">
        <v>11</v>
      </c>
      <c r="C106" s="7" t="n">
        <v>45</v>
      </c>
      <c r="D106" s="7" t="n">
        <v>10</v>
      </c>
      <c r="E106" s="7" t="s">
        <v>126</v>
      </c>
      <c r="F106" s="7" t="s">
        <v>65</v>
      </c>
      <c r="G106" s="9" t="str">
        <f aca="false">INDEX(Bloques!$B$2:$B$20,MATCH($F106,Bloques!$A$2:$A$20,0))</f>
        <v>Subida de pie (remate)</v>
      </c>
      <c r="H106" s="7" t="n">
        <v>4</v>
      </c>
      <c r="I106" s="8" t="n">
        <f aca="false">I105+H105</f>
        <v>36</v>
      </c>
      <c r="J106" s="9" t="str">
        <f aca="false">INDEX(Bloques!$C$2:$C$20,MATCH($F106,Bloques!$A$2:$A$20,0))</f>
        <v>De pie</v>
      </c>
      <c r="K106" s="9" t="str">
        <f aca="false">INDEX(Bloques!$D$2:$D$20,MATCH($F106,Bloques!$A$2:$A$20,0))&amp;"–"&amp;INDEX(Bloques!$E$2:$E$20,MATCH($F106,Bloques!$A$2:$A$20,0))</f>
        <v>8–9</v>
      </c>
      <c r="L106" s="9" t="str">
        <f aca="false">INDEX(Bloques!$F$2:$F$20,MATCH($F106,Bloques!$A$2:$A$20,0))&amp;"–"&amp;INDEX(Bloques!$G$2:$G$20,MATCH($F106,Bloques!$A$2:$A$20,0))</f>
        <v>60–70</v>
      </c>
      <c r="M106" s="9" t="str">
        <f aca="false">INDEX(Bloques!$J$2:$J$20,MATCH($F106,Bloques!$A$2:$A$20,0))&amp;"–"&amp;INDEX(Bloques!$K$2:$K$20,MATCH($F106,Bloques!$A$2:$A$20,0))</f>
        <v>120–140</v>
      </c>
      <c r="N106" s="7"/>
    </row>
    <row r="107" customFormat="false" ht="15" hidden="false" customHeight="false" outlineLevel="0" collapsed="false">
      <c r="A107" s="8" t="str">
        <f aca="false">B107&amp;" "&amp;C107&amp;"′"</f>
        <v>Escalada 45′</v>
      </c>
      <c r="B107" s="7" t="s">
        <v>11</v>
      </c>
      <c r="C107" s="7" t="n">
        <v>45</v>
      </c>
      <c r="D107" s="7" t="n">
        <v>11</v>
      </c>
      <c r="E107" s="7" t="s">
        <v>102</v>
      </c>
      <c r="F107" s="7" t="s">
        <v>85</v>
      </c>
      <c r="G107" s="9" t="str">
        <f aca="false">INDEX(Bloques!$B$2:$B$20,MATCH($F107,Bloques!$A$2:$A$20,0))</f>
        <v>Vuelta a la calma</v>
      </c>
      <c r="H107" s="7" t="n">
        <v>5</v>
      </c>
      <c r="I107" s="8" t="n">
        <f aca="false">I106+H106</f>
        <v>40</v>
      </c>
      <c r="J107" s="9" t="str">
        <f aca="false">INDEX(Bloques!$C$2:$C$20,MATCH($F107,Bloques!$A$2:$A$20,0))</f>
        <v>Sentado</v>
      </c>
      <c r="K107" s="9" t="str">
        <f aca="false">INDEX(Bloques!$D$2:$D$20,MATCH($F107,Bloques!$A$2:$A$20,0))&amp;"–"&amp;INDEX(Bloques!$E$2:$E$20,MATCH($F107,Bloques!$A$2:$A$20,0))</f>
        <v>1–2</v>
      </c>
      <c r="L107" s="9" t="str">
        <f aca="false">INDEX(Bloques!$F$2:$F$20,MATCH($F107,Bloques!$A$2:$A$20,0))&amp;"–"&amp;INDEX(Bloques!$G$2:$G$20,MATCH($F107,Bloques!$A$2:$A$20,0))</f>
        <v>70–90</v>
      </c>
      <c r="M107" s="9" t="str">
        <f aca="false">INDEX(Bloques!$J$2:$J$20,MATCH($F107,Bloques!$A$2:$A$20,0))&amp;"–"&amp;INDEX(Bloques!$K$2:$K$20,MATCH($F107,Bloques!$A$2:$A$20,0))</f>
        <v>70–90</v>
      </c>
      <c r="N107" s="7"/>
    </row>
    <row r="108" customFormat="false" ht="15" hidden="false" customHeight="false" outlineLevel="0" collapsed="false">
      <c r="A108" s="8" t="str">
        <f aca="false">B108&amp;" "&amp;C108&amp;"′"</f>
        <v>Escalada 60′</v>
      </c>
      <c r="B108" s="7" t="s">
        <v>11</v>
      </c>
      <c r="C108" s="7" t="n">
        <v>60</v>
      </c>
      <c r="D108" s="7" t="n">
        <v>1</v>
      </c>
      <c r="E108" s="7" t="s">
        <v>40</v>
      </c>
      <c r="F108" s="7" t="s">
        <v>39</v>
      </c>
      <c r="G108" s="9" t="str">
        <f aca="false">INDEX(Bloques!$B$2:$B$20,MATCH($F108,Bloques!$A$2:$A$20,0))</f>
        <v>Calentamiento</v>
      </c>
      <c r="H108" s="7" t="n">
        <v>8</v>
      </c>
      <c r="I108" s="8" t="n">
        <v>0</v>
      </c>
      <c r="J108" s="9" t="str">
        <f aca="false">INDEX(Bloques!$C$2:$C$20,MATCH($F108,Bloques!$A$2:$A$20,0))</f>
        <v>Sentado</v>
      </c>
      <c r="K108" s="9" t="str">
        <f aca="false">INDEX(Bloques!$D$2:$D$20,MATCH($F108,Bloques!$A$2:$A$20,0))&amp;"–"&amp;INDEX(Bloques!$E$2:$E$20,MATCH($F108,Bloques!$A$2:$A$20,0))</f>
        <v>2–3</v>
      </c>
      <c r="L108" s="9" t="str">
        <f aca="false">INDEX(Bloques!$F$2:$F$20,MATCH($F108,Bloques!$A$2:$A$20,0))&amp;"–"&amp;INDEX(Bloques!$G$2:$G$20,MATCH($F108,Bloques!$A$2:$A$20,0))</f>
        <v>85–95</v>
      </c>
      <c r="M108" s="9" t="str">
        <f aca="false">INDEX(Bloques!$J$2:$J$20,MATCH($F108,Bloques!$A$2:$A$20,0))&amp;"–"&amp;INDEX(Bloques!$K$2:$K$20,MATCH($F108,Bloques!$A$2:$A$20,0))</f>
        <v>85–95</v>
      </c>
      <c r="N108" s="7"/>
    </row>
    <row r="109" customFormat="false" ht="15" hidden="false" customHeight="false" outlineLevel="0" collapsed="false">
      <c r="A109" s="8" t="str">
        <f aca="false">B109&amp;" "&amp;C109&amp;"′"</f>
        <v>Escalada 60′</v>
      </c>
      <c r="B109" s="7" t="s">
        <v>11</v>
      </c>
      <c r="C109" s="7" t="n">
        <v>60</v>
      </c>
      <c r="D109" s="7" t="n">
        <v>2</v>
      </c>
      <c r="E109" s="7" t="s">
        <v>125</v>
      </c>
      <c r="F109" s="7" t="s">
        <v>45</v>
      </c>
      <c r="G109" s="9" t="str">
        <f aca="false">INDEX(Bloques!$B$2:$B$20,MATCH($F109,Bloques!$A$2:$A$20,0))</f>
        <v>Llano</v>
      </c>
      <c r="H109" s="7" t="n">
        <v>5</v>
      </c>
      <c r="I109" s="8" t="n">
        <f aca="false">I108+H108</f>
        <v>8</v>
      </c>
      <c r="J109" s="9" t="str">
        <f aca="false">INDEX(Bloques!$C$2:$C$20,MATCH($F109,Bloques!$A$2:$A$20,0))</f>
        <v>Sentado</v>
      </c>
      <c r="K109" s="9" t="str">
        <f aca="false">INDEX(Bloques!$D$2:$D$20,MATCH($F109,Bloques!$A$2:$A$20,0))&amp;"–"&amp;INDEX(Bloques!$E$2:$E$20,MATCH($F109,Bloques!$A$2:$A$20,0))</f>
        <v>3–4</v>
      </c>
      <c r="L109" s="9" t="str">
        <f aca="false">INDEX(Bloques!$F$2:$F$20,MATCH($F109,Bloques!$A$2:$A$20,0))&amp;"–"&amp;INDEX(Bloques!$G$2:$G$20,MATCH($F109,Bloques!$A$2:$A$20,0))</f>
        <v>90–100</v>
      </c>
      <c r="M109" s="9" t="str">
        <f aca="false">INDEX(Bloques!$J$2:$J$20,MATCH($F109,Bloques!$A$2:$A$20,0))&amp;"–"&amp;INDEX(Bloques!$K$2:$K$20,MATCH($F109,Bloques!$A$2:$A$20,0))</f>
        <v>90–100</v>
      </c>
      <c r="N109" s="7"/>
    </row>
    <row r="110" customFormat="false" ht="15" hidden="false" customHeight="false" outlineLevel="0" collapsed="false">
      <c r="A110" s="8" t="str">
        <f aca="false">B110&amp;" "&amp;C110&amp;"′"</f>
        <v>Escalada 60′</v>
      </c>
      <c r="B110" s="7" t="s">
        <v>11</v>
      </c>
      <c r="C110" s="7" t="n">
        <v>60</v>
      </c>
      <c r="D110" s="7" t="n">
        <v>3</v>
      </c>
      <c r="E110" s="7" t="s">
        <v>122</v>
      </c>
      <c r="F110" s="7" t="s">
        <v>57</v>
      </c>
      <c r="G110" s="9" t="str">
        <f aca="false">INDEX(Bloques!$B$2:$B$20,MATCH($F110,Bloques!$A$2:$A$20,0))</f>
        <v>Subida sentado</v>
      </c>
      <c r="H110" s="7" t="n">
        <v>4</v>
      </c>
      <c r="I110" s="8" t="n">
        <f aca="false">I109+H109</f>
        <v>13</v>
      </c>
      <c r="J110" s="9" t="str">
        <f aca="false">INDEX(Bloques!$C$2:$C$20,MATCH($F110,Bloques!$A$2:$A$20,0))</f>
        <v>Sentado</v>
      </c>
      <c r="K110" s="9" t="str">
        <f aca="false">INDEX(Bloques!$D$2:$D$20,MATCH($F110,Bloques!$A$2:$A$20,0))&amp;"–"&amp;INDEX(Bloques!$E$2:$E$20,MATCH($F110,Bloques!$A$2:$A$20,0))</f>
        <v>6–7</v>
      </c>
      <c r="L110" s="9" t="str">
        <f aca="false">INDEX(Bloques!$F$2:$F$20,MATCH($F110,Bloques!$A$2:$A$20,0))&amp;"–"&amp;INDEX(Bloques!$G$2:$G$20,MATCH($F110,Bloques!$A$2:$A$20,0))</f>
        <v>70–80</v>
      </c>
      <c r="M110" s="9" t="str">
        <f aca="false">INDEX(Bloques!$J$2:$J$20,MATCH($F110,Bloques!$A$2:$A$20,0))&amp;"–"&amp;INDEX(Bloques!$K$2:$K$20,MATCH($F110,Bloques!$A$2:$A$20,0))</f>
        <v>140–160</v>
      </c>
      <c r="N110" s="7"/>
    </row>
    <row r="111" customFormat="false" ht="15" hidden="false" customHeight="false" outlineLevel="0" collapsed="false">
      <c r="A111" s="8" t="str">
        <f aca="false">B111&amp;" "&amp;C111&amp;"′"</f>
        <v>Escalada 60′</v>
      </c>
      <c r="B111" s="7" t="s">
        <v>11</v>
      </c>
      <c r="C111" s="7" t="n">
        <v>60</v>
      </c>
      <c r="D111" s="7" t="n">
        <v>4</v>
      </c>
      <c r="E111" s="7" t="s">
        <v>122</v>
      </c>
      <c r="F111" s="7" t="s">
        <v>61</v>
      </c>
      <c r="G111" s="9" t="str">
        <f aca="false">INDEX(Bloques!$B$2:$B$20,MATCH($F111,Bloques!$A$2:$A$20,0))</f>
        <v>Subida de pie</v>
      </c>
      <c r="H111" s="7" t="n">
        <v>4</v>
      </c>
      <c r="I111" s="8" t="n">
        <f aca="false">I110+H110</f>
        <v>17</v>
      </c>
      <c r="J111" s="9" t="str">
        <f aca="false">INDEX(Bloques!$C$2:$C$20,MATCH($F111,Bloques!$A$2:$A$20,0))</f>
        <v>De pie</v>
      </c>
      <c r="K111" s="9" t="str">
        <f aca="false">INDEX(Bloques!$D$2:$D$20,MATCH($F111,Bloques!$A$2:$A$20,0))&amp;"–"&amp;INDEX(Bloques!$E$2:$E$20,MATCH($F111,Bloques!$A$2:$A$20,0))</f>
        <v>7–8</v>
      </c>
      <c r="L111" s="9" t="str">
        <f aca="false">INDEX(Bloques!$F$2:$F$20,MATCH($F111,Bloques!$A$2:$A$20,0))&amp;"–"&amp;INDEX(Bloques!$G$2:$G$20,MATCH($F111,Bloques!$A$2:$A$20,0))</f>
        <v>60–75</v>
      </c>
      <c r="M111" s="9" t="str">
        <f aca="false">INDEX(Bloques!$J$2:$J$20,MATCH($F111,Bloques!$A$2:$A$20,0))&amp;"–"&amp;INDEX(Bloques!$K$2:$K$20,MATCH($F111,Bloques!$A$2:$A$20,0))</f>
        <v>120–150</v>
      </c>
      <c r="N111" s="7"/>
    </row>
    <row r="112" customFormat="false" ht="15" hidden="false" customHeight="false" outlineLevel="0" collapsed="false">
      <c r="A112" s="8" t="str">
        <f aca="false">B112&amp;" "&amp;C112&amp;"′"</f>
        <v>Escalada 60′</v>
      </c>
      <c r="B112" s="7" t="s">
        <v>11</v>
      </c>
      <c r="C112" s="7" t="n">
        <v>60</v>
      </c>
      <c r="D112" s="7" t="n">
        <v>5</v>
      </c>
      <c r="E112" s="7" t="s">
        <v>123</v>
      </c>
      <c r="F112" s="7" t="s">
        <v>82</v>
      </c>
      <c r="G112" s="9" t="str">
        <f aca="false">INDEX(Bloques!$B$2:$B$20,MATCH($F112,Bloques!$A$2:$A$20,0))</f>
        <v>Recuperación</v>
      </c>
      <c r="H112" s="7" t="n">
        <v>3</v>
      </c>
      <c r="I112" s="8" t="n">
        <f aca="false">I111+H111</f>
        <v>21</v>
      </c>
      <c r="J112" s="9" t="str">
        <f aca="false">INDEX(Bloques!$C$2:$C$20,MATCH($F112,Bloques!$A$2:$A$20,0))</f>
        <v>Sentado</v>
      </c>
      <c r="K112" s="9" t="str">
        <f aca="false">INDEX(Bloques!$D$2:$D$20,MATCH($F112,Bloques!$A$2:$A$20,0))&amp;"–"&amp;INDEX(Bloques!$E$2:$E$20,MATCH($F112,Bloques!$A$2:$A$20,0))</f>
        <v>2–3</v>
      </c>
      <c r="L112" s="9" t="str">
        <f aca="false">INDEX(Bloques!$F$2:$F$20,MATCH($F112,Bloques!$A$2:$A$20,0))&amp;"–"&amp;INDEX(Bloques!$G$2:$G$20,MATCH($F112,Bloques!$A$2:$A$20,0))</f>
        <v>80–90</v>
      </c>
      <c r="M112" s="9" t="str">
        <f aca="false">INDEX(Bloques!$J$2:$J$20,MATCH($F112,Bloques!$A$2:$A$20,0))&amp;"–"&amp;INDEX(Bloques!$K$2:$K$20,MATCH($F112,Bloques!$A$2:$A$20,0))</f>
        <v>80–90</v>
      </c>
      <c r="N112" s="7"/>
    </row>
    <row r="113" customFormat="false" ht="15" hidden="false" customHeight="false" outlineLevel="0" collapsed="false">
      <c r="A113" s="8" t="str">
        <f aca="false">B113&amp;" "&amp;C113&amp;"′"</f>
        <v>Escalada 60′</v>
      </c>
      <c r="B113" s="7" t="s">
        <v>11</v>
      </c>
      <c r="C113" s="7" t="n">
        <v>60</v>
      </c>
      <c r="D113" s="7" t="n">
        <v>6</v>
      </c>
      <c r="E113" s="7" t="s">
        <v>124</v>
      </c>
      <c r="F113" s="7" t="s">
        <v>57</v>
      </c>
      <c r="G113" s="9" t="str">
        <f aca="false">INDEX(Bloques!$B$2:$B$20,MATCH($F113,Bloques!$A$2:$A$20,0))</f>
        <v>Subida sentado</v>
      </c>
      <c r="H113" s="7" t="n">
        <v>4</v>
      </c>
      <c r="I113" s="8" t="n">
        <f aca="false">I112+H112</f>
        <v>24</v>
      </c>
      <c r="J113" s="9" t="str">
        <f aca="false">INDEX(Bloques!$C$2:$C$20,MATCH($F113,Bloques!$A$2:$A$20,0))</f>
        <v>Sentado</v>
      </c>
      <c r="K113" s="9" t="str">
        <f aca="false">INDEX(Bloques!$D$2:$D$20,MATCH($F113,Bloques!$A$2:$A$20,0))&amp;"–"&amp;INDEX(Bloques!$E$2:$E$20,MATCH($F113,Bloques!$A$2:$A$20,0))</f>
        <v>6–7</v>
      </c>
      <c r="L113" s="9" t="str">
        <f aca="false">INDEX(Bloques!$F$2:$F$20,MATCH($F113,Bloques!$A$2:$A$20,0))&amp;"–"&amp;INDEX(Bloques!$G$2:$G$20,MATCH($F113,Bloques!$A$2:$A$20,0))</f>
        <v>70–80</v>
      </c>
      <c r="M113" s="9" t="str">
        <f aca="false">INDEX(Bloques!$J$2:$J$20,MATCH($F113,Bloques!$A$2:$A$20,0))&amp;"–"&amp;INDEX(Bloques!$K$2:$K$20,MATCH($F113,Bloques!$A$2:$A$20,0))</f>
        <v>140–160</v>
      </c>
      <c r="N113" s="7"/>
    </row>
    <row r="114" customFormat="false" ht="15" hidden="false" customHeight="false" outlineLevel="0" collapsed="false">
      <c r="A114" s="8" t="str">
        <f aca="false">B114&amp;" "&amp;C114&amp;"′"</f>
        <v>Escalada 60′</v>
      </c>
      <c r="B114" s="7" t="s">
        <v>11</v>
      </c>
      <c r="C114" s="7" t="n">
        <v>60</v>
      </c>
      <c r="D114" s="7" t="n">
        <v>7</v>
      </c>
      <c r="E114" s="7" t="s">
        <v>124</v>
      </c>
      <c r="F114" s="7" t="s">
        <v>61</v>
      </c>
      <c r="G114" s="9" t="str">
        <f aca="false">INDEX(Bloques!$B$2:$B$20,MATCH($F114,Bloques!$A$2:$A$20,0))</f>
        <v>Subida de pie</v>
      </c>
      <c r="H114" s="7" t="n">
        <v>4</v>
      </c>
      <c r="I114" s="8" t="n">
        <f aca="false">I113+H113</f>
        <v>28</v>
      </c>
      <c r="J114" s="9" t="str">
        <f aca="false">INDEX(Bloques!$C$2:$C$20,MATCH($F114,Bloques!$A$2:$A$20,0))</f>
        <v>De pie</v>
      </c>
      <c r="K114" s="9" t="str">
        <f aca="false">INDEX(Bloques!$D$2:$D$20,MATCH($F114,Bloques!$A$2:$A$20,0))&amp;"–"&amp;INDEX(Bloques!$E$2:$E$20,MATCH($F114,Bloques!$A$2:$A$20,0))</f>
        <v>7–8</v>
      </c>
      <c r="L114" s="9" t="str">
        <f aca="false">INDEX(Bloques!$F$2:$F$20,MATCH($F114,Bloques!$A$2:$A$20,0))&amp;"–"&amp;INDEX(Bloques!$G$2:$G$20,MATCH($F114,Bloques!$A$2:$A$20,0))</f>
        <v>60–75</v>
      </c>
      <c r="M114" s="9" t="str">
        <f aca="false">INDEX(Bloques!$J$2:$J$20,MATCH($F114,Bloques!$A$2:$A$20,0))&amp;"–"&amp;INDEX(Bloques!$K$2:$K$20,MATCH($F114,Bloques!$A$2:$A$20,0))</f>
        <v>120–150</v>
      </c>
      <c r="N114" s="7"/>
    </row>
    <row r="115" customFormat="false" ht="15" hidden="false" customHeight="false" outlineLevel="0" collapsed="false">
      <c r="A115" s="8" t="str">
        <f aca="false">B115&amp;" "&amp;C115&amp;"′"</f>
        <v>Escalada 60′</v>
      </c>
      <c r="B115" s="7" t="s">
        <v>11</v>
      </c>
      <c r="C115" s="7" t="n">
        <v>60</v>
      </c>
      <c r="D115" s="7" t="n">
        <v>8</v>
      </c>
      <c r="E115" s="7" t="s">
        <v>123</v>
      </c>
      <c r="F115" s="7" t="s">
        <v>82</v>
      </c>
      <c r="G115" s="9" t="str">
        <f aca="false">INDEX(Bloques!$B$2:$B$20,MATCH($F115,Bloques!$A$2:$A$20,0))</f>
        <v>Recuperación</v>
      </c>
      <c r="H115" s="7" t="n">
        <v>3</v>
      </c>
      <c r="I115" s="8" t="n">
        <f aca="false">I114+H114</f>
        <v>32</v>
      </c>
      <c r="J115" s="9" t="str">
        <f aca="false">INDEX(Bloques!$C$2:$C$20,MATCH($F115,Bloques!$A$2:$A$20,0))</f>
        <v>Sentado</v>
      </c>
      <c r="K115" s="9" t="str">
        <f aca="false">INDEX(Bloques!$D$2:$D$20,MATCH($F115,Bloques!$A$2:$A$20,0))&amp;"–"&amp;INDEX(Bloques!$E$2:$E$20,MATCH($F115,Bloques!$A$2:$A$20,0))</f>
        <v>2–3</v>
      </c>
      <c r="L115" s="9" t="str">
        <f aca="false">INDEX(Bloques!$F$2:$F$20,MATCH($F115,Bloques!$A$2:$A$20,0))&amp;"–"&amp;INDEX(Bloques!$G$2:$G$20,MATCH($F115,Bloques!$A$2:$A$20,0))</f>
        <v>80–90</v>
      </c>
      <c r="M115" s="9" t="str">
        <f aca="false">INDEX(Bloques!$J$2:$J$20,MATCH($F115,Bloques!$A$2:$A$20,0))&amp;"–"&amp;INDEX(Bloques!$K$2:$K$20,MATCH($F115,Bloques!$A$2:$A$20,0))</f>
        <v>80–90</v>
      </c>
      <c r="N115" s="7"/>
    </row>
    <row r="116" customFormat="false" ht="15" hidden="false" customHeight="false" outlineLevel="0" collapsed="false">
      <c r="A116" s="8" t="str">
        <f aca="false">B116&amp;" "&amp;C116&amp;"′"</f>
        <v>Escalada 60′</v>
      </c>
      <c r="B116" s="7" t="s">
        <v>11</v>
      </c>
      <c r="C116" s="7" t="n">
        <v>60</v>
      </c>
      <c r="D116" s="7" t="n">
        <v>9</v>
      </c>
      <c r="E116" s="7" t="s">
        <v>126</v>
      </c>
      <c r="F116" s="7" t="s">
        <v>57</v>
      </c>
      <c r="G116" s="9" t="str">
        <f aca="false">INDEX(Bloques!$B$2:$B$20,MATCH($F116,Bloques!$A$2:$A$20,0))</f>
        <v>Subida sentado</v>
      </c>
      <c r="H116" s="7" t="n">
        <v>4</v>
      </c>
      <c r="I116" s="8" t="n">
        <f aca="false">I115+H115</f>
        <v>35</v>
      </c>
      <c r="J116" s="9" t="str">
        <f aca="false">INDEX(Bloques!$C$2:$C$20,MATCH($F116,Bloques!$A$2:$A$20,0))</f>
        <v>Sentado</v>
      </c>
      <c r="K116" s="9" t="str">
        <f aca="false">INDEX(Bloques!$D$2:$D$20,MATCH($F116,Bloques!$A$2:$A$20,0))&amp;"–"&amp;INDEX(Bloques!$E$2:$E$20,MATCH($F116,Bloques!$A$2:$A$20,0))</f>
        <v>6–7</v>
      </c>
      <c r="L116" s="9" t="str">
        <f aca="false">INDEX(Bloques!$F$2:$F$20,MATCH($F116,Bloques!$A$2:$A$20,0))&amp;"–"&amp;INDEX(Bloques!$G$2:$G$20,MATCH($F116,Bloques!$A$2:$A$20,0))</f>
        <v>70–80</v>
      </c>
      <c r="M116" s="9" t="str">
        <f aca="false">INDEX(Bloques!$J$2:$J$20,MATCH($F116,Bloques!$A$2:$A$20,0))&amp;"–"&amp;INDEX(Bloques!$K$2:$K$20,MATCH($F116,Bloques!$A$2:$A$20,0))</f>
        <v>140–160</v>
      </c>
      <c r="N116" s="7"/>
    </row>
    <row r="117" customFormat="false" ht="15" hidden="false" customHeight="false" outlineLevel="0" collapsed="false">
      <c r="A117" s="8" t="str">
        <f aca="false">B117&amp;" "&amp;C117&amp;"′"</f>
        <v>Escalada 60′</v>
      </c>
      <c r="B117" s="7" t="s">
        <v>11</v>
      </c>
      <c r="C117" s="7" t="n">
        <v>60</v>
      </c>
      <c r="D117" s="7" t="n">
        <v>10</v>
      </c>
      <c r="E117" s="7" t="s">
        <v>126</v>
      </c>
      <c r="F117" s="7" t="s">
        <v>65</v>
      </c>
      <c r="G117" s="9" t="str">
        <f aca="false">INDEX(Bloques!$B$2:$B$20,MATCH($F117,Bloques!$A$2:$A$20,0))</f>
        <v>Subida de pie (remate)</v>
      </c>
      <c r="H117" s="7" t="n">
        <v>4</v>
      </c>
      <c r="I117" s="8" t="n">
        <f aca="false">I116+H116</f>
        <v>39</v>
      </c>
      <c r="J117" s="9" t="str">
        <f aca="false">INDEX(Bloques!$C$2:$C$20,MATCH($F117,Bloques!$A$2:$A$20,0))</f>
        <v>De pie</v>
      </c>
      <c r="K117" s="9" t="str">
        <f aca="false">INDEX(Bloques!$D$2:$D$20,MATCH($F117,Bloques!$A$2:$A$20,0))&amp;"–"&amp;INDEX(Bloques!$E$2:$E$20,MATCH($F117,Bloques!$A$2:$A$20,0))</f>
        <v>8–9</v>
      </c>
      <c r="L117" s="9" t="str">
        <f aca="false">INDEX(Bloques!$F$2:$F$20,MATCH($F117,Bloques!$A$2:$A$20,0))&amp;"–"&amp;INDEX(Bloques!$G$2:$G$20,MATCH($F117,Bloques!$A$2:$A$20,0))</f>
        <v>60–70</v>
      </c>
      <c r="M117" s="9" t="str">
        <f aca="false">INDEX(Bloques!$J$2:$J$20,MATCH($F117,Bloques!$A$2:$A$20,0))&amp;"–"&amp;INDEX(Bloques!$K$2:$K$20,MATCH($F117,Bloques!$A$2:$A$20,0))</f>
        <v>120–140</v>
      </c>
      <c r="N117" s="7" t="s">
        <v>127</v>
      </c>
    </row>
    <row r="118" customFormat="false" ht="15" hidden="false" customHeight="false" outlineLevel="0" collapsed="false">
      <c r="A118" s="8" t="str">
        <f aca="false">B118&amp;" "&amp;C118&amp;"′"</f>
        <v>Escalada 60′</v>
      </c>
      <c r="B118" s="7" t="s">
        <v>11</v>
      </c>
      <c r="C118" s="7" t="n">
        <v>60</v>
      </c>
      <c r="D118" s="7" t="n">
        <v>11</v>
      </c>
      <c r="E118" s="7" t="s">
        <v>120</v>
      </c>
      <c r="F118" s="7" t="s">
        <v>49</v>
      </c>
      <c r="G118" s="9" t="str">
        <f aca="false">INDEX(Bloques!$B$2:$B$20,MATCH($F118,Bloques!$A$2:$A$20,0))</f>
        <v>Tempo</v>
      </c>
      <c r="H118" s="7" t="n">
        <v>8</v>
      </c>
      <c r="I118" s="8" t="n">
        <f aca="false">I117+H117</f>
        <v>43</v>
      </c>
      <c r="J118" s="9" t="str">
        <f aca="false">INDEX(Bloques!$C$2:$C$20,MATCH($F118,Bloques!$A$2:$A$20,0))</f>
        <v>Sentado</v>
      </c>
      <c r="K118" s="9" t="str">
        <f aca="false">INDEX(Bloques!$D$2:$D$20,MATCH($F118,Bloques!$A$2:$A$20,0))&amp;"–"&amp;INDEX(Bloques!$E$2:$E$20,MATCH($F118,Bloques!$A$2:$A$20,0))</f>
        <v>5–6</v>
      </c>
      <c r="L118" s="9" t="str">
        <f aca="false">INDEX(Bloques!$F$2:$F$20,MATCH($F118,Bloques!$A$2:$A$20,0))&amp;"–"&amp;INDEX(Bloques!$G$2:$G$20,MATCH($F118,Bloques!$A$2:$A$20,0))</f>
        <v>90–100</v>
      </c>
      <c r="M118" s="9" t="str">
        <f aca="false">INDEX(Bloques!$J$2:$J$20,MATCH($F118,Bloques!$A$2:$A$20,0))&amp;"–"&amp;INDEX(Bloques!$K$2:$K$20,MATCH($F118,Bloques!$A$2:$A$20,0))</f>
        <v>90–100</v>
      </c>
      <c r="N118" s="7"/>
    </row>
    <row r="119" customFormat="false" ht="15" hidden="false" customHeight="false" outlineLevel="0" collapsed="false">
      <c r="A119" s="8" t="str">
        <f aca="false">B119&amp;" "&amp;C119&amp;"′"</f>
        <v>Escalada 60′</v>
      </c>
      <c r="B119" s="7" t="s">
        <v>11</v>
      </c>
      <c r="C119" s="7" t="n">
        <v>60</v>
      </c>
      <c r="D119" s="7" t="n">
        <v>12</v>
      </c>
      <c r="E119" s="7" t="s">
        <v>102</v>
      </c>
      <c r="F119" s="7" t="s">
        <v>85</v>
      </c>
      <c r="G119" s="9" t="str">
        <f aca="false">INDEX(Bloques!$B$2:$B$20,MATCH($F119,Bloques!$A$2:$A$20,0))</f>
        <v>Vuelta a la calma</v>
      </c>
      <c r="H119" s="7" t="n">
        <v>9</v>
      </c>
      <c r="I119" s="8" t="n">
        <f aca="false">I118+H118</f>
        <v>51</v>
      </c>
      <c r="J119" s="9" t="str">
        <f aca="false">INDEX(Bloques!$C$2:$C$20,MATCH($F119,Bloques!$A$2:$A$20,0))</f>
        <v>Sentado</v>
      </c>
      <c r="K119" s="9" t="str">
        <f aca="false">INDEX(Bloques!$D$2:$D$20,MATCH($F119,Bloques!$A$2:$A$20,0))&amp;"–"&amp;INDEX(Bloques!$E$2:$E$20,MATCH($F119,Bloques!$A$2:$A$20,0))</f>
        <v>1–2</v>
      </c>
      <c r="L119" s="9" t="str">
        <f aca="false">INDEX(Bloques!$F$2:$F$20,MATCH($F119,Bloques!$A$2:$A$20,0))&amp;"–"&amp;INDEX(Bloques!$G$2:$G$20,MATCH($F119,Bloques!$A$2:$A$20,0))</f>
        <v>70–90</v>
      </c>
      <c r="M119" s="9" t="str">
        <f aca="false">INDEX(Bloques!$J$2:$J$20,MATCH($F119,Bloques!$A$2:$A$20,0))&amp;"–"&amp;INDEX(Bloques!$K$2:$K$20,MATCH($F119,Bloques!$A$2:$A$20,0))</f>
        <v>70–90</v>
      </c>
      <c r="N119" s="7"/>
    </row>
  </sheetData>
  <autoFilter ref="A1:N119"/>
  <dataValidations count="1">
    <dataValidation allowBlank="false" errorStyle="stop" operator="between" showDropDown="false" showErrorMessage="false" showInputMessage="false" sqref="F2:F119" type="list">
      <formula1>Bloques!$A$2:$A$20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2026-10-23T13:13:00Z</dcterms:created>
  <dc:creator>openpyxl</dc:creator>
  <dc:description/>
  <dc:language>en-US</dc:language>
  <cp:lastModifiedBy/>
  <dcterms:modified xsi:type="dcterms:W3CDTF">2026-10-23T13:13:00Z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